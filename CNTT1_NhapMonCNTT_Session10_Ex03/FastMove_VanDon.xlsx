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60ac9ea01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gGia" sheetId="1" r:id="R2af2379d82c04f57"/>
    <x:sheet xmlns:r="http://schemas.openxmlformats.org/officeDocument/2006/relationships" name="VanDon" sheetId="2" r:id="R55a7474784bf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VNĐ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522e3a7b7446c" /><Relationship Type="http://schemas.openxmlformats.org/officeDocument/2006/relationships/theme" Target="/xl/theme/theme1.xml" Id="R2dc97d1d0de8430a" /><Relationship Type="http://schemas.openxmlformats.org/officeDocument/2006/relationships/sharedStrings" Target="/xl/sharedStrings.xml" Id="R88d46c4cfcbf4b88" /><Relationship Type="http://schemas.openxmlformats.org/officeDocument/2006/relationships/worksheet" Target="/xl/worksheets/sheet1.xml" Id="R2af2379d82c04f57" /><Relationship Type="http://schemas.openxmlformats.org/officeDocument/2006/relationships/worksheet" Target="/xl/worksheets/sheet2.xml" Id="R55a7474784bf457c" /></Relationships>
</file>

<file path=xl/tables/table1.xml><?xml version="1.0" encoding="utf-8"?>
<x:table xmlns:x="http://schemas.openxmlformats.org/spreadsheetml/2006/main" id="1" name="BangGiaTable" displayName="BangGiaTable" ref="A1:D7" headerRowCount="1" totalsRowCount="0" totalsRowShown="0">
  <x:tableColumns count="4">
    <x:tableColumn id="1" name="Mã tuyến"/>
    <x:tableColumn id="2" name="Khu vực"/>
    <x:tableColumn id="3" name="Loại dịch vụ"/>
    <x:tableColumn id="4" name="Giá cướ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nDonTable" displayName="VanDonTable" ref="A1:G501" headerRowCount="1" totalsRowCount="0" totalsRowShown="0">
  <x:tableColumns count="7">
    <x:tableColumn id="1" name="Mã vận đơn"/>
    <x:tableColumn id="2" name="Mã tuyến gốc"/>
    <x:tableColumn id="3" name="Mã tuyến sạch"/>
    <x:tableColumn id="4" name="Khách hàng"/>
    <x:tableColumn id="5" name="Giá cước"/>
    <x:tableColumn id="6" name="Giao đúng hẹn"/>
    <x:tableColumn id="7" name="Thời gian giao (phút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2d617b57dd4f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6a4cebac19436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4" hidden="0" customWidth="1"/>
  </x:cols>
  <x:sheetData>
    <x:row r="1">
      <x:c r="A1" s="10" t="str">
        <x:v>Mã tuyến</x:v>
      </x:c>
      <x:c r="B1" s="10" t="str">
        <x:v>Khu vực</x:v>
      </x:c>
      <x:c r="C1" s="10" t="str">
        <x:v>Loại dịch vụ</x:v>
      </x:c>
      <x:c r="D1" s="10" t="str">
        <x:v>Giá cước</x:v>
      </x:c>
    </x:row>
    <x:row r="2">
      <x:c r="A2" t="str">
        <x:v>R01</x:v>
      </x:c>
      <x:c r="B2" t="str">
        <x:v>Nội thành</x:v>
      </x:c>
      <x:c r="C2" t="str">
        <x:v>Tiêu chuẩn</x:v>
      </x:c>
      <x:c r="D2" s="12" t="n">
        <x:v>22000</x:v>
      </x:c>
    </x:row>
    <x:row r="3">
      <x:c r="A3" t="str">
        <x:v>R02</x:v>
      </x:c>
      <x:c r="B3" t="str">
        <x:v>Nội thành</x:v>
      </x:c>
      <x:c r="C3" t="str">
        <x:v>Hỏa tốc</x:v>
      </x:c>
      <x:c r="D3" s="12" t="n">
        <x:v>45000</x:v>
      </x:c>
    </x:row>
    <x:row r="4">
      <x:c r="A4" t="str">
        <x:v>R03</x:v>
      </x:c>
      <x:c r="B4" t="str">
        <x:v>Liên tỉnh</x:v>
      </x:c>
      <x:c r="C4" t="str">
        <x:v>Tiêu chuẩn</x:v>
      </x:c>
      <x:c r="D4" s="12" t="n">
        <x:v>38000</x:v>
      </x:c>
    </x:row>
    <x:row r="5">
      <x:c r="A5" t="str">
        <x:v>R04</x:v>
      </x:c>
      <x:c r="B5" t="str">
        <x:v>Liên tỉnh</x:v>
      </x:c>
      <x:c r="C5" t="str">
        <x:v>Nhanh</x:v>
      </x:c>
      <x:c r="D5" s="12" t="n">
        <x:v>52000</x:v>
      </x:c>
    </x:row>
    <x:row r="6">
      <x:c r="A6" t="str">
        <x:v>R05</x:v>
      </x:c>
      <x:c r="B6" t="str">
        <x:v>Ngoại thành</x:v>
      </x:c>
      <x:c r="C6" t="str">
        <x:v>Tiêu chuẩn</x:v>
      </x:c>
      <x:c r="D6" s="12" t="n">
        <x:v>30000</x:v>
      </x:c>
    </x:row>
    <x:row r="7">
      <x:c r="A7" t="str">
        <x:v>R06</x:v>
      </x:c>
      <x:c r="B7" t="str">
        <x:v>Ngoại thành</x:v>
      </x:c>
      <x:c r="C7" t="str">
        <x:v>Nhanh</x:v>
      </x:c>
      <x:c r="D7" s="12" t="n">
        <x:v>42000</x:v>
      </x:c>
    </x:row>
  </x:sheetData>
  <x:pageMargins left="0.7" right="0.7" top="0.75" bottom="0.75" header="0.3" footer="0.3"/>
  <x:tableParts count="1">
    <x:tablePart xmlns:r="http://schemas.openxmlformats.org/officeDocument/2006/relationships" r:id="R6c2d617b57dd4f6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4" hidden="0" customWidth="1"/>
    <x:col min="6" max="6" width="15" hidden="0" customWidth="1"/>
    <x:col min="7" max="7" width="20" hidden="0" customWidth="1"/>
  </x:cols>
  <x:sheetData>
    <x:row r="1">
      <x:c r="A1" s="10" t="str">
        <x:v>Mã vận đơn</x:v>
      </x:c>
      <x:c r="B1" s="10" t="str">
        <x:v>Mã tuyến gốc</x:v>
      </x:c>
      <x:c r="C1" s="10" t="str">
        <x:v>Mã tuyến sạch</x:v>
      </x:c>
      <x:c r="D1" s="10" t="str">
        <x:v>Khách hàng</x:v>
      </x:c>
      <x:c r="E1" s="10" t="str">
        <x:v>Giá cước</x:v>
      </x:c>
      <x:c r="F1" s="10" t="str">
        <x:v>Giao đúng hẹn</x:v>
      </x:c>
      <x:c r="G1" s="10" t="str">
        <x:v>Thời gian giao (phút)</x:v>
      </x:c>
    </x:row>
    <x:row r="2">
      <x:c r="A2" t="str">
        <x:v>VD0001</x:v>
      </x:c>
      <x:c r="B2" t="str">
        <x:v>R02</x:v>
      </x:c>
      <x:c r="C2" t="str">
        <x:f>TRIM(B2)</x:f>
        <x:v>R02</x:v>
      </x:c>
      <x:c r="D2" t="str">
        <x:v>Khách hàng 001</x:v>
      </x:c>
      <x:c r="E2" s="12" t="n">
        <x:f>IFERROR(VLOOKUP(C2,BangGia!$A$2:$D$7,4,FALSE),"Chưa có giá")</x:f>
        <x:v>45000</x:v>
      </x:c>
      <x:c r="F2" t="str">
        <x:v>Có</x:v>
      </x:c>
      <x:c r="G2" t="n">
        <x:v>48</x:v>
      </x:c>
    </x:row>
    <x:row r="3">
      <x:c r="A3" t="str">
        <x:v>VD0002</x:v>
      </x:c>
      <x:c r="B3" t="str">
        <x:v>R03</x:v>
      </x:c>
      <x:c r="C3" t="str">
        <x:f>TRIM(B3)</x:f>
        <x:v>R03</x:v>
      </x:c>
      <x:c r="D3" t="str">
        <x:v>Khách hàng 002</x:v>
      </x:c>
      <x:c r="E3" s="12" t="n">
        <x:f>IFERROR(VLOOKUP(C3,BangGia!$A$2:$D$7,4,FALSE),"Chưa có giá")</x:f>
        <x:v>38000</x:v>
      </x:c>
      <x:c r="F3" t="str">
        <x:v>Có</x:v>
      </x:c>
      <x:c r="G3" t="n">
        <x:v>61</x:v>
      </x:c>
    </x:row>
    <x:row r="4">
      <x:c r="A4" t="str">
        <x:v>VD0003</x:v>
      </x:c>
      <x:c r="B4" t="str">
        <x:v>R04</x:v>
      </x:c>
      <x:c r="C4" t="str">
        <x:f>TRIM(B4)</x:f>
        <x:v>R04</x:v>
      </x:c>
      <x:c r="D4" t="str">
        <x:v>Khách hàng 003</x:v>
      </x:c>
      <x:c r="E4" s="12" t="n">
        <x:f>IFERROR(VLOOKUP(C4,BangGia!$A$2:$D$7,4,FALSE),"Chưa có giá")</x:f>
        <x:v>52000</x:v>
      </x:c>
      <x:c r="F4" t="str">
        <x:v>Có</x:v>
      </x:c>
      <x:c r="G4" t="n">
        <x:v>74</x:v>
      </x:c>
    </x:row>
    <x:row r="5">
      <x:c r="A5" t="str">
        <x:v>VD0004</x:v>
      </x:c>
      <x:c r="B5" t="str">
        <x:v>R05</x:v>
      </x:c>
      <x:c r="C5" t="str">
        <x:f>TRIM(B5)</x:f>
        <x:v>R05</x:v>
      </x:c>
      <x:c r="D5" t="str">
        <x:v>Khách hàng 004</x:v>
      </x:c>
      <x:c r="E5" s="12" t="n">
        <x:f>IFERROR(VLOOKUP(C5,BangGia!$A$2:$D$7,4,FALSE),"Chưa có giá")</x:f>
        <x:v>30000</x:v>
      </x:c>
      <x:c r="F5" t="str">
        <x:v>Có</x:v>
      </x:c>
      <x:c r="G5" t="n">
        <x:v>87</x:v>
      </x:c>
    </x:row>
    <x:row r="6">
      <x:c r="A6" t="str">
        <x:v>VD0005</x:v>
      </x:c>
      <x:c r="B6" t="str">
        <x:v>R06</x:v>
      </x:c>
      <x:c r="C6" t="str">
        <x:f>TRIM(B6)</x:f>
        <x:v>R06</x:v>
      </x:c>
      <x:c r="D6" t="str">
        <x:v>Khách hàng 005</x:v>
      </x:c>
      <x:c r="E6" s="12" t="n">
        <x:f>IFERROR(VLOOKUP(C6,BangGia!$A$2:$D$7,4,FALSE),"Chưa có giá")</x:f>
        <x:v>42000</x:v>
      </x:c>
      <x:c r="F6" t="str">
        <x:v>Có</x:v>
      </x:c>
      <x:c r="G6" t="n">
        <x:v>100</x:v>
      </x:c>
    </x:row>
    <x:row r="7">
      <x:c r="A7" t="str">
        <x:v>VD0006</x:v>
      </x:c>
      <x:c r="B7" t="str">
        <x:v>R01</x:v>
      </x:c>
      <x:c r="C7" t="str">
        <x:f>TRIM(B7)</x:f>
        <x:v>R01</x:v>
      </x:c>
      <x:c r="D7" t="str">
        <x:v>Khách hàng 006</x:v>
      </x:c>
      <x:c r="E7" s="12" t="n">
        <x:f>IFERROR(VLOOKUP(C7,BangGia!$A$2:$D$7,4,FALSE),"Chưa có giá")</x:f>
        <x:v>22000</x:v>
      </x:c>
      <x:c r="F7" t="str">
        <x:v>Có</x:v>
      </x:c>
      <x:c r="G7" t="n">
        <x:v>113</x:v>
      </x:c>
    </x:row>
    <x:row r="8">
      <x:c r="A8" t="str">
        <x:v>VD0007</x:v>
      </x:c>
      <x:c r="B8" t="str">
        <x:v>R02</x:v>
      </x:c>
      <x:c r="C8" t="str">
        <x:f>TRIM(B8)</x:f>
        <x:v>R02</x:v>
      </x:c>
      <x:c r="D8" t="str">
        <x:v>Khách hàng 007</x:v>
      </x:c>
      <x:c r="E8" s="12" t="n">
        <x:f>IFERROR(VLOOKUP(C8,BangGia!$A$2:$D$7,4,FALSE),"Chưa có giá")</x:f>
        <x:v>45000</x:v>
      </x:c>
      <x:c r="F8" t="str">
        <x:v>Có</x:v>
      </x:c>
      <x:c r="G8" t="n">
        <x:v>126</x:v>
      </x:c>
    </x:row>
    <x:row r="9">
      <x:c r="A9" t="str">
        <x:v>VD0008</x:v>
      </x:c>
      <x:c r="B9" t="str">
        <x:v>R03</x:v>
      </x:c>
      <x:c r="C9" t="str">
        <x:f>TRIM(B9)</x:f>
        <x:v>R03</x:v>
      </x:c>
      <x:c r="D9" t="str">
        <x:v>Khách hàng 008</x:v>
      </x:c>
      <x:c r="E9" s="12" t="n">
        <x:f>IFERROR(VLOOKUP(C9,BangGia!$A$2:$D$7,4,FALSE),"Chưa có giá")</x:f>
        <x:v>38000</x:v>
      </x:c>
      <x:c r="F9" t="str">
        <x:v>Có</x:v>
      </x:c>
      <x:c r="G9" t="n">
        <x:v>139</x:v>
      </x:c>
    </x:row>
    <x:row r="10">
      <x:c r="A10" t="str">
        <x:v>VD0009</x:v>
      </x:c>
      <x:c r="B10" t="str">
        <x:v>R04</x:v>
      </x:c>
      <x:c r="C10" t="str">
        <x:f>TRIM(B10)</x:f>
        <x:v>R04</x:v>
      </x:c>
      <x:c r="D10" t="str">
        <x:v>Khách hàng 009</x:v>
      </x:c>
      <x:c r="E10" s="12" t="n">
        <x:f>IFERROR(VLOOKUP(C10,BangGia!$A$2:$D$7,4,FALSE),"Chưa có giá")</x:f>
        <x:v>52000</x:v>
      </x:c>
      <x:c r="F10" t="str">
        <x:v>Không</x:v>
      </x:c>
      <x:c r="G10" t="n">
        <x:v>152</x:v>
      </x:c>
    </x:row>
    <x:row r="11">
      <x:c r="A11" t="str">
        <x:v>VD0010</x:v>
      </x:c>
      <x:c r="B11" t="str">
        <x:v>R05</x:v>
      </x:c>
      <x:c r="C11" t="str">
        <x:f>TRIM(B11)</x:f>
        <x:v>R05</x:v>
      </x:c>
      <x:c r="D11" t="str">
        <x:v>Khách hàng 010</x:v>
      </x:c>
      <x:c r="E11" s="12" t="n">
        <x:f>IFERROR(VLOOKUP(C11,BangGia!$A$2:$D$7,4,FALSE),"Chưa có giá")</x:f>
        <x:v>30000</x:v>
      </x:c>
      <x:c r="F11" t="str">
        <x:v>Có</x:v>
      </x:c>
      <x:c r="G11" t="n">
        <x:v>165</x:v>
      </x:c>
    </x:row>
    <x:row r="12">
      <x:c r="A12" t="str">
        <x:v>VD0011</x:v>
      </x:c>
      <x:c r="B12" t="str">
        <x:v>R06</x:v>
      </x:c>
      <x:c r="C12" t="str">
        <x:f>TRIM(B12)</x:f>
        <x:v>R06</x:v>
      </x:c>
      <x:c r="D12" t="str">
        <x:v>Khách hàng 011</x:v>
      </x:c>
      <x:c r="E12" s="12" t="n">
        <x:f>IFERROR(VLOOKUP(C12,BangGia!$A$2:$D$7,4,FALSE),"Chưa có giá")</x:f>
        <x:v>42000</x:v>
      </x:c>
      <x:c r="F12" t="str">
        <x:v>Có</x:v>
      </x:c>
      <x:c r="G12" t="n">
        <x:v>178</x:v>
      </x:c>
    </x:row>
    <x:row r="13">
      <x:c r="A13" t="str">
        <x:v>VD0012</x:v>
      </x:c>
      <x:c r="B13" t="str">
        <x:v>R01</x:v>
      </x:c>
      <x:c r="C13" t="str">
        <x:f>TRIM(B13)</x:f>
        <x:v>R01</x:v>
      </x:c>
      <x:c r="D13" t="str">
        <x:v>Khách hàng 012</x:v>
      </x:c>
      <x:c r="E13" s="12" t="n">
        <x:f>IFERROR(VLOOKUP(C13,BangGia!$A$2:$D$7,4,FALSE),"Chưa có giá")</x:f>
        <x:v>22000</x:v>
      </x:c>
      <x:c r="F13" t="str">
        <x:v>Có</x:v>
      </x:c>
      <x:c r="G13" t="n">
        <x:v>41</x:v>
      </x:c>
    </x:row>
    <x:row r="14">
      <x:c r="A14" t="str">
        <x:v>VD0013</x:v>
      </x:c>
      <x:c r="B14" t="str">
        <x:v>R02</x:v>
      </x:c>
      <x:c r="C14" t="str">
        <x:f>TRIM(B14)</x:f>
        <x:v>R02</x:v>
      </x:c>
      <x:c r="D14" t="str">
        <x:v>Khách hàng 013</x:v>
      </x:c>
      <x:c r="E14" s="12" t="n">
        <x:f>IFERROR(VLOOKUP(C14,BangGia!$A$2:$D$7,4,FALSE),"Chưa có giá")</x:f>
        <x:v>45000</x:v>
      </x:c>
      <x:c r="F14" t="str">
        <x:v>Có</x:v>
      </x:c>
      <x:c r="G14" t="n">
        <x:v>54</x:v>
      </x:c>
    </x:row>
    <x:row r="15">
      <x:c r="A15" t="str">
        <x:v>VD0014</x:v>
      </x:c>
      <x:c r="B15" t="str">
        <x:v>R03</x:v>
      </x:c>
      <x:c r="C15" t="str">
        <x:f>TRIM(B15)</x:f>
        <x:v>R03</x:v>
      </x:c>
      <x:c r="D15" t="str">
        <x:v>Khách hàng 014</x:v>
      </x:c>
      <x:c r="E15" s="12" t="n">
        <x:f>IFERROR(VLOOKUP(C15,BangGia!$A$2:$D$7,4,FALSE),"Chưa có giá")</x:f>
        <x:v>38000</x:v>
      </x:c>
      <x:c r="F15" t="str">
        <x:v>Có</x:v>
      </x:c>
      <x:c r="G15" t="n">
        <x:v>67</x:v>
      </x:c>
    </x:row>
    <x:row r="16">
      <x:c r="A16" t="str">
        <x:v>VD0015</x:v>
      </x:c>
      <x:c r="B16" t="str">
        <x:v>R04</x:v>
      </x:c>
      <x:c r="C16" t="str">
        <x:f>TRIM(B16)</x:f>
        <x:v>R04</x:v>
      </x:c>
      <x:c r="D16" t="str">
        <x:v>Khách hàng 015</x:v>
      </x:c>
      <x:c r="E16" s="12" t="n">
        <x:f>IFERROR(VLOOKUP(C16,BangGia!$A$2:$D$7,4,FALSE),"Chưa có giá")</x:f>
        <x:v>52000</x:v>
      </x:c>
      <x:c r="F16" t="str">
        <x:v>Có</x:v>
      </x:c>
      <x:c r="G16" t="n">
        <x:v>80</x:v>
      </x:c>
    </x:row>
    <x:row r="17">
      <x:c r="A17" t="str">
        <x:v>VD0016</x:v>
      </x:c>
      <x:c r="B17" t="str">
        <x:v>R05</x:v>
      </x:c>
      <x:c r="C17" t="str">
        <x:f>TRIM(B17)</x:f>
        <x:v>R05</x:v>
      </x:c>
      <x:c r="D17" t="str">
        <x:v>Khách hàng 016</x:v>
      </x:c>
      <x:c r="E17" s="12" t="n">
        <x:f>IFERROR(VLOOKUP(C17,BangGia!$A$2:$D$7,4,FALSE),"Chưa có giá")</x:f>
        <x:v>30000</x:v>
      </x:c>
      <x:c r="F17" t="str">
        <x:v>Có</x:v>
      </x:c>
      <x:c r="G17" t="n">
        <x:v>93</x:v>
      </x:c>
    </x:row>
    <x:row r="18">
      <x:c r="A18" t="str">
        <x:v>VD0017</x:v>
      </x:c>
      <x:c r="B18" t="str">
        <x:v>R06</x:v>
      </x:c>
      <x:c r="C18" t="str">
        <x:f>TRIM(B18)</x:f>
        <x:v>R06</x:v>
      </x:c>
      <x:c r="D18" t="str">
        <x:v>Khách hàng 017</x:v>
      </x:c>
      <x:c r="E18" s="12" t="n">
        <x:f>IFERROR(VLOOKUP(C18,BangGia!$A$2:$D$7,4,FALSE),"Chưa có giá")</x:f>
        <x:v>42000</x:v>
      </x:c>
      <x:c r="F18" t="str">
        <x:v>Có</x:v>
      </x:c>
      <x:c r="G18" t="n">
        <x:v>106</x:v>
      </x:c>
    </x:row>
    <x:row r="19">
      <x:c r="A19" t="str">
        <x:v>VD0018</x:v>
      </x:c>
      <x:c r="B19" t="str">
        <x:v>R01</x:v>
      </x:c>
      <x:c r="C19" t="str">
        <x:f>TRIM(B19)</x:f>
        <x:v>R01</x:v>
      </x:c>
      <x:c r="D19" t="str">
        <x:v>Khách hàng 018</x:v>
      </x:c>
      <x:c r="E19" s="12" t="n">
        <x:f>IFERROR(VLOOKUP(C19,BangGia!$A$2:$D$7,4,FALSE),"Chưa có giá")</x:f>
        <x:v>22000</x:v>
      </x:c>
      <x:c r="F19" t="str">
        <x:v>Không</x:v>
      </x:c>
      <x:c r="G19" t="n">
        <x:v>119</x:v>
      </x:c>
    </x:row>
    <x:row r="20">
      <x:c r="A20" t="str">
        <x:v>VD0019</x:v>
      </x:c>
      <x:c r="B20" t="str">
        <x:v>R02</x:v>
      </x:c>
      <x:c r="C20" t="str">
        <x:f>TRIM(B20)</x:f>
        <x:v>R02</x:v>
      </x:c>
      <x:c r="D20" t="str">
        <x:v>Khách hàng 019</x:v>
      </x:c>
      <x:c r="E20" s="12" t="n">
        <x:f>IFERROR(VLOOKUP(C20,BangGia!$A$2:$D$7,4,FALSE),"Chưa có giá")</x:f>
        <x:v>45000</x:v>
      </x:c>
      <x:c r="F20" t="str">
        <x:v>Có</x:v>
      </x:c>
      <x:c r="G20" t="n">
        <x:v>132</x:v>
      </x:c>
    </x:row>
    <x:row r="21">
      <x:c r="A21" t="str">
        <x:v>VD0020</x:v>
      </x:c>
      <x:c r="B21" t="str">
        <x:v>R03</x:v>
      </x:c>
      <x:c r="C21" t="str">
        <x:f>TRIM(B21)</x:f>
        <x:v>R03</x:v>
      </x:c>
      <x:c r="D21" t="str">
        <x:v>Khách hàng 020</x:v>
      </x:c>
      <x:c r="E21" s="12" t="n">
        <x:f>IFERROR(VLOOKUP(C21,BangGia!$A$2:$D$7,4,FALSE),"Chưa có giá")</x:f>
        <x:v>38000</x:v>
      </x:c>
      <x:c r="F21" t="str">
        <x:v>Có</x:v>
      </x:c>
      <x:c r="G21" t="n">
        <x:v>145</x:v>
      </x:c>
    </x:row>
    <x:row r="22">
      <x:c r="A22" t="str">
        <x:v>VD0021</x:v>
      </x:c>
      <x:c r="B22" t="str">
        <x:v>R04</x:v>
      </x:c>
      <x:c r="C22" t="str">
        <x:f>TRIM(B22)</x:f>
        <x:v>R04</x:v>
      </x:c>
      <x:c r="D22" t="str">
        <x:v>Khách hàng 021</x:v>
      </x:c>
      <x:c r="E22" s="12" t="n">
        <x:f>IFERROR(VLOOKUP(C22,BangGia!$A$2:$D$7,4,FALSE),"Chưa có giá")</x:f>
        <x:v>52000</x:v>
      </x:c>
      <x:c r="F22" t="str">
        <x:v>Có</x:v>
      </x:c>
      <x:c r="G22" t="n">
        <x:v>158</x:v>
      </x:c>
    </x:row>
    <x:row r="23">
      <x:c r="A23" t="str">
        <x:v>VD0022</x:v>
      </x:c>
      <x:c r="B23" t="str">
        <x:v>R05</x:v>
      </x:c>
      <x:c r="C23" t="str">
        <x:f>TRIM(B23)</x:f>
        <x:v>R05</x:v>
      </x:c>
      <x:c r="D23" t="str">
        <x:v>Khách hàng 022</x:v>
      </x:c>
      <x:c r="E23" s="12" t="n">
        <x:f>IFERROR(VLOOKUP(C23,BangGia!$A$2:$D$7,4,FALSE),"Chưa có giá")</x:f>
        <x:v>30000</x:v>
      </x:c>
      <x:c r="F23" t="str">
        <x:v>Có</x:v>
      </x:c>
      <x:c r="G23" t="n">
        <x:v>171</x:v>
      </x:c>
    </x:row>
    <x:row r="24">
      <x:c r="A24" t="str">
        <x:v>VD0023</x:v>
      </x:c>
      <x:c r="B24" t="str">
        <x:v>R06</x:v>
      </x:c>
      <x:c r="C24" t="str">
        <x:f>TRIM(B24)</x:f>
        <x:v>R06</x:v>
      </x:c>
      <x:c r="D24" t="str">
        <x:v>Khách hàng 023</x:v>
      </x:c>
      <x:c r="E24" s="12" t="n">
        <x:f>IFERROR(VLOOKUP(C24,BangGia!$A$2:$D$7,4,FALSE),"Chưa có giá")</x:f>
        <x:v>42000</x:v>
      </x:c>
      <x:c r="F24" t="str">
        <x:v>Có</x:v>
      </x:c>
      <x:c r="G24" t="n">
        <x:v>184</x:v>
      </x:c>
    </x:row>
    <x:row r="25">
      <x:c r="A25" t="str">
        <x:v>VD0024</x:v>
      </x:c>
      <x:c r="B25" t="str">
        <x:v>R01</x:v>
      </x:c>
      <x:c r="C25" t="str">
        <x:f>TRIM(B25)</x:f>
        <x:v>R01</x:v>
      </x:c>
      <x:c r="D25" t="str">
        <x:v>Khách hàng 024</x:v>
      </x:c>
      <x:c r="E25" s="12" t="n">
        <x:f>IFERROR(VLOOKUP(C25,BangGia!$A$2:$D$7,4,FALSE),"Chưa có giá")</x:f>
        <x:v>22000</x:v>
      </x:c>
      <x:c r="F25" t="str">
        <x:v>Có</x:v>
      </x:c>
      <x:c r="G25" t="n">
        <x:v>47</x:v>
      </x:c>
    </x:row>
    <x:row r="26">
      <x:c r="A26" t="str">
        <x:v>VD0025</x:v>
      </x:c>
      <x:c r="B26" t="str">
        <x:v>R02</x:v>
      </x:c>
      <x:c r="C26" t="str">
        <x:f>TRIM(B26)</x:f>
        <x:v>R02</x:v>
      </x:c>
      <x:c r="D26" t="str">
        <x:v>Khách hàng 025</x:v>
      </x:c>
      <x:c r="E26" s="12" t="n">
        <x:f>IFERROR(VLOOKUP(C26,BangGia!$A$2:$D$7,4,FALSE),"Chưa có giá")</x:f>
        <x:v>45000</x:v>
      </x:c>
      <x:c r="F26" t="str">
        <x:v>Có</x:v>
      </x:c>
      <x:c r="G26" t="n">
        <x:v>60</x:v>
      </x:c>
    </x:row>
    <x:row r="27">
      <x:c r="A27" t="str">
        <x:v>VD0026</x:v>
      </x:c>
      <x:c r="B27" t="str">
        <x:v>R03</x:v>
      </x:c>
      <x:c r="C27" t="str">
        <x:f>TRIM(B27)</x:f>
        <x:v>R03</x:v>
      </x:c>
      <x:c r="D27" t="str">
        <x:v>Khách hàng 026</x:v>
      </x:c>
      <x:c r="E27" s="12" t="n">
        <x:f>IFERROR(VLOOKUP(C27,BangGia!$A$2:$D$7,4,FALSE),"Chưa có giá")</x:f>
        <x:v>38000</x:v>
      </x:c>
      <x:c r="F27" t="str">
        <x:v>Có</x:v>
      </x:c>
      <x:c r="G27" t="n">
        <x:v>73</x:v>
      </x:c>
    </x:row>
    <x:row r="28">
      <x:c r="A28" t="str">
        <x:v>VD0027</x:v>
      </x:c>
      <x:c r="B28" t="str">
        <x:v>R04</x:v>
      </x:c>
      <x:c r="C28" t="str">
        <x:f>TRIM(B28)</x:f>
        <x:v>R04</x:v>
      </x:c>
      <x:c r="D28" t="str">
        <x:v>Khách hàng 027</x:v>
      </x:c>
      <x:c r="E28" s="12" t="n">
        <x:f>IFERROR(VLOOKUP(C28,BangGia!$A$2:$D$7,4,FALSE),"Chưa có giá")</x:f>
        <x:v>52000</x:v>
      </x:c>
      <x:c r="F28" t="str">
        <x:v>Không</x:v>
      </x:c>
      <x:c r="G28" t="n">
        <x:v>86</x:v>
      </x:c>
    </x:row>
    <x:row r="29">
      <x:c r="A29" t="str">
        <x:v>VD0028</x:v>
      </x:c>
      <x:c r="B29" t="str">
        <x:v>R05</x:v>
      </x:c>
      <x:c r="C29" t="str">
        <x:f>TRIM(B29)</x:f>
        <x:v>R05</x:v>
      </x:c>
      <x:c r="D29" t="str">
        <x:v>Khách hàng 028</x:v>
      </x:c>
      <x:c r="E29" s="12" t="n">
        <x:f>IFERROR(VLOOKUP(C29,BangGia!$A$2:$D$7,4,FALSE),"Chưa có giá")</x:f>
        <x:v>30000</x:v>
      </x:c>
      <x:c r="F29" t="str">
        <x:v>Có</x:v>
      </x:c>
      <x:c r="G29" t="n">
        <x:v>99</x:v>
      </x:c>
    </x:row>
    <x:row r="30">
      <x:c r="A30" t="str">
        <x:v>VD0029</x:v>
      </x:c>
      <x:c r="B30" t="str">
        <x:v>R06</x:v>
      </x:c>
      <x:c r="C30" t="str">
        <x:f>TRIM(B30)</x:f>
        <x:v>R06</x:v>
      </x:c>
      <x:c r="D30" t="str">
        <x:v>Khách hàng 029</x:v>
      </x:c>
      <x:c r="E30" s="12" t="n">
        <x:f>IFERROR(VLOOKUP(C30,BangGia!$A$2:$D$7,4,FALSE),"Chưa có giá")</x:f>
        <x:v>42000</x:v>
      </x:c>
      <x:c r="F30" t="str">
        <x:v>Có</x:v>
      </x:c>
      <x:c r="G30" t="n">
        <x:v>112</x:v>
      </x:c>
    </x:row>
    <x:row r="31">
      <x:c r="A31" t="str">
        <x:v>VD0030</x:v>
      </x:c>
      <x:c r="B31" t="str">
        <x:v>R01</x:v>
      </x:c>
      <x:c r="C31" t="str">
        <x:f>TRIM(B31)</x:f>
        <x:v>R01</x:v>
      </x:c>
      <x:c r="D31" t="str">
        <x:v>Khách hàng 030</x:v>
      </x:c>
      <x:c r="E31" s="12" t="n">
        <x:f>IFERROR(VLOOKUP(C31,BangGia!$A$2:$D$7,4,FALSE),"Chưa có giá")</x:f>
        <x:v>22000</x:v>
      </x:c>
      <x:c r="F31" t="str">
        <x:v>Có</x:v>
      </x:c>
      <x:c r="G31" t="n">
        <x:v>125</x:v>
      </x:c>
    </x:row>
    <x:row r="32">
      <x:c r="A32" t="str">
        <x:v>VD0031</x:v>
      </x:c>
      <x:c r="B32" t="str">
        <x:v>R02</x:v>
      </x:c>
      <x:c r="C32" t="str">
        <x:f>TRIM(B32)</x:f>
        <x:v>R02</x:v>
      </x:c>
      <x:c r="D32" t="str">
        <x:v>Khách hàng 031</x:v>
      </x:c>
      <x:c r="E32" s="12" t="n">
        <x:f>IFERROR(VLOOKUP(C32,BangGia!$A$2:$D$7,4,FALSE),"Chưa có giá")</x:f>
        <x:v>45000</x:v>
      </x:c>
      <x:c r="F32" t="str">
        <x:v>Có</x:v>
      </x:c>
      <x:c r="G32" t="n">
        <x:v>138</x:v>
      </x:c>
    </x:row>
    <x:row r="33">
      <x:c r="A33" t="str">
        <x:v>VD0032</x:v>
      </x:c>
      <x:c r="B33" t="str">
        <x:v>R03</x:v>
      </x:c>
      <x:c r="C33" t="str">
        <x:f>TRIM(B33)</x:f>
        <x:v>R03</x:v>
      </x:c>
      <x:c r="D33" t="str">
        <x:v>Khách hàng 032</x:v>
      </x:c>
      <x:c r="E33" s="12" t="n">
        <x:f>IFERROR(VLOOKUP(C33,BangGia!$A$2:$D$7,4,FALSE),"Chưa có giá")</x:f>
        <x:v>38000</x:v>
      </x:c>
      <x:c r="F33" t="str">
        <x:v>Có</x:v>
      </x:c>
      <x:c r="G33" t="n">
        <x:v>151</x:v>
      </x:c>
    </x:row>
    <x:row r="34">
      <x:c r="A34" t="str">
        <x:v>VD0033</x:v>
      </x:c>
      <x:c r="B34" t="str">
        <x:v>R04</x:v>
      </x:c>
      <x:c r="C34" t="str">
        <x:f>TRIM(B34)</x:f>
        <x:v>R04</x:v>
      </x:c>
      <x:c r="D34" t="str">
        <x:v>Khách hàng 033</x:v>
      </x:c>
      <x:c r="E34" s="12" t="n">
        <x:f>IFERROR(VLOOKUP(C34,BangGia!$A$2:$D$7,4,FALSE),"Chưa có giá")</x:f>
        <x:v>52000</x:v>
      </x:c>
      <x:c r="F34" t="str">
        <x:v>Có</x:v>
      </x:c>
      <x:c r="G34" t="n">
        <x:v>164</x:v>
      </x:c>
    </x:row>
    <x:row r="35">
      <x:c r="A35" t="str">
        <x:v>VD0034</x:v>
      </x:c>
      <x:c r="B35" t="str">
        <x:v>R05</x:v>
      </x:c>
      <x:c r="C35" t="str">
        <x:f>TRIM(B35)</x:f>
        <x:v>R05</x:v>
      </x:c>
      <x:c r="D35" t="str">
        <x:v>Khách hàng 034</x:v>
      </x:c>
      <x:c r="E35" s="12" t="n">
        <x:f>IFERROR(VLOOKUP(C35,BangGia!$A$2:$D$7,4,FALSE),"Chưa có giá")</x:f>
        <x:v>30000</x:v>
      </x:c>
      <x:c r="F35" t="str">
        <x:v>Có</x:v>
      </x:c>
      <x:c r="G35" t="n">
        <x:v>177</x:v>
      </x:c>
    </x:row>
    <x:row r="36">
      <x:c r="A36" t="str">
        <x:v>VD0035</x:v>
      </x:c>
      <x:c r="B36" t="str">
        <x:v>R06</x:v>
      </x:c>
      <x:c r="C36" t="str">
        <x:f>TRIM(B36)</x:f>
        <x:v>R06</x:v>
      </x:c>
      <x:c r="D36" t="str">
        <x:v>Khách hàng 035</x:v>
      </x:c>
      <x:c r="E36" s="12" t="n">
        <x:f>IFERROR(VLOOKUP(C36,BangGia!$A$2:$D$7,4,FALSE),"Chưa có giá")</x:f>
        <x:v>42000</x:v>
      </x:c>
      <x:c r="F36" t="str">
        <x:v>Có</x:v>
      </x:c>
      <x:c r="G36" t="n">
        <x:v>40</x:v>
      </x:c>
    </x:row>
    <x:row r="37">
      <x:c r="A37" t="str">
        <x:v>VD0036</x:v>
      </x:c>
      <x:c r="B37" t="str">
        <x:v>R01</x:v>
      </x:c>
      <x:c r="C37" t="str">
        <x:f>TRIM(B37)</x:f>
        <x:v>R01</x:v>
      </x:c>
      <x:c r="D37" t="str">
        <x:v>Khách hàng 036</x:v>
      </x:c>
      <x:c r="E37" s="12" t="n">
        <x:f>IFERROR(VLOOKUP(C37,BangGia!$A$2:$D$7,4,FALSE),"Chưa có giá")</x:f>
        <x:v>22000</x:v>
      </x:c>
      <x:c r="F37" t="str">
        <x:v>Không</x:v>
      </x:c>
      <x:c r="G37" t="n">
        <x:v>53</x:v>
      </x:c>
    </x:row>
    <x:row r="38">
      <x:c r="A38" t="str">
        <x:v>VD0037</x:v>
      </x:c>
      <x:c r="B38" t="str">
        <x:v>R02</x:v>
      </x:c>
      <x:c r="C38" t="str">
        <x:f>TRIM(B38)</x:f>
        <x:v>R02</x:v>
      </x:c>
      <x:c r="D38" t="str">
        <x:v>Khách hàng 037</x:v>
      </x:c>
      <x:c r="E38" s="12" t="n">
        <x:f>IFERROR(VLOOKUP(C38,BangGia!$A$2:$D$7,4,FALSE),"Chưa có giá")</x:f>
        <x:v>45000</x:v>
      </x:c>
      <x:c r="F38" t="str">
        <x:v>Có</x:v>
      </x:c>
      <x:c r="G38" t="n">
        <x:v>66</x:v>
      </x:c>
    </x:row>
    <x:row r="39">
      <x:c r="A39" t="str">
        <x:v>VD0038</x:v>
      </x:c>
      <x:c r="B39" t="str">
        <x:v>R03</x:v>
      </x:c>
      <x:c r="C39" t="str">
        <x:f>TRIM(B39)</x:f>
        <x:v>R03</x:v>
      </x:c>
      <x:c r="D39" t="str">
        <x:v>Khách hàng 038</x:v>
      </x:c>
      <x:c r="E39" s="12" t="n">
        <x:f>IFERROR(VLOOKUP(C39,BangGia!$A$2:$D$7,4,FALSE),"Chưa có giá")</x:f>
        <x:v>38000</x:v>
      </x:c>
      <x:c r="F39" t="str">
        <x:v>Có</x:v>
      </x:c>
      <x:c r="G39" t="n">
        <x:v>79</x:v>
      </x:c>
    </x:row>
    <x:row r="40">
      <x:c r="A40" t="str">
        <x:v>VD0039</x:v>
      </x:c>
      <x:c r="B40" t="str">
        <x:v>R04</x:v>
      </x:c>
      <x:c r="C40" t="str">
        <x:f>TRIM(B40)</x:f>
        <x:v>R04</x:v>
      </x:c>
      <x:c r="D40" t="str">
        <x:v>Khách hàng 039</x:v>
      </x:c>
      <x:c r="E40" s="12" t="n">
        <x:f>IFERROR(VLOOKUP(C40,BangGia!$A$2:$D$7,4,FALSE),"Chưa có giá")</x:f>
        <x:v>52000</x:v>
      </x:c>
      <x:c r="F40" t="str">
        <x:v>Có</x:v>
      </x:c>
      <x:c r="G40" t="n">
        <x:v>92</x:v>
      </x:c>
    </x:row>
    <x:row r="41">
      <x:c r="A41" t="str">
        <x:v>VD0040</x:v>
      </x:c>
      <x:c r="B41" t="str">
        <x:v>R05</x:v>
      </x:c>
      <x:c r="C41" t="str">
        <x:f>TRIM(B41)</x:f>
        <x:v>R05</x:v>
      </x:c>
      <x:c r="D41" t="str">
        <x:v>Khách hàng 040</x:v>
      </x:c>
      <x:c r="E41" s="12" t="n">
        <x:f>IFERROR(VLOOKUP(C41,BangGia!$A$2:$D$7,4,FALSE),"Chưa có giá")</x:f>
        <x:v>30000</x:v>
      </x:c>
      <x:c r="F41" t="str">
        <x:v>Có</x:v>
      </x:c>
      <x:c r="G41" t="n">
        <x:v>105</x:v>
      </x:c>
    </x:row>
    <x:row r="42">
      <x:c r="A42" t="str">
        <x:v>VD0041</x:v>
      </x:c>
      <x:c r="B42" t="str">
        <x:v>R06 </x:v>
      </x:c>
      <x:c r="C42" t="str">
        <x:f>TRIM(B42)</x:f>
        <x:v>R06</x:v>
      </x:c>
      <x:c r="D42" t="str">
        <x:v>Khách hàng 041</x:v>
      </x:c>
      <x:c r="E42" s="12" t="n">
        <x:f>IFERROR(VLOOKUP(C42,BangGia!$A$2:$D$7,4,FALSE),"Chưa có giá")</x:f>
        <x:v>42000</x:v>
      </x:c>
      <x:c r="F42" t="str">
        <x:v>Có</x:v>
      </x:c>
      <x:c r="G42" t="n">
        <x:v>118</x:v>
      </x:c>
    </x:row>
    <x:row r="43">
      <x:c r="A43" t="str">
        <x:v>VD0042</x:v>
      </x:c>
      <x:c r="B43" t="str">
        <x:v>R01</x:v>
      </x:c>
      <x:c r="C43" t="str">
        <x:f>TRIM(B43)</x:f>
        <x:v>R01</x:v>
      </x:c>
      <x:c r="D43" t="str">
        <x:v>Khách hàng 042</x:v>
      </x:c>
      <x:c r="E43" s="12" t="n">
        <x:f>IFERROR(VLOOKUP(C43,BangGia!$A$2:$D$7,4,FALSE),"Chưa có giá")</x:f>
        <x:v>22000</x:v>
      </x:c>
      <x:c r="F43" t="str">
        <x:v>Có</x:v>
      </x:c>
      <x:c r="G43" t="n">
        <x:v>131</x:v>
      </x:c>
    </x:row>
    <x:row r="44">
      <x:c r="A44" t="str">
        <x:v>VD0043</x:v>
      </x:c>
      <x:c r="B44" t="str">
        <x:v>R02</x:v>
      </x:c>
      <x:c r="C44" t="str">
        <x:f>TRIM(B44)</x:f>
        <x:v>R02</x:v>
      </x:c>
      <x:c r="D44" t="str">
        <x:v>Khách hàng 043</x:v>
      </x:c>
      <x:c r="E44" s="12" t="n">
        <x:f>IFERROR(VLOOKUP(C44,BangGia!$A$2:$D$7,4,FALSE),"Chưa có giá")</x:f>
        <x:v>45000</x:v>
      </x:c>
      <x:c r="F44" t="str">
        <x:v>Có</x:v>
      </x:c>
      <x:c r="G44" t="n">
        <x:v>144</x:v>
      </x:c>
    </x:row>
    <x:row r="45">
      <x:c r="A45" t="str">
        <x:v>VD0044</x:v>
      </x:c>
      <x:c r="B45" t="str">
        <x:v>R03</x:v>
      </x:c>
      <x:c r="C45" t="str">
        <x:f>TRIM(B45)</x:f>
        <x:v>R03</x:v>
      </x:c>
      <x:c r="D45" t="str">
        <x:v>Khách hàng 044</x:v>
      </x:c>
      <x:c r="E45" s="12" t="n">
        <x:f>IFERROR(VLOOKUP(C45,BangGia!$A$2:$D$7,4,FALSE),"Chưa có giá")</x:f>
        <x:v>38000</x:v>
      </x:c>
      <x:c r="F45" t="str">
        <x:v>Có</x:v>
      </x:c>
      <x:c r="G45" t="n">
        <x:v>157</x:v>
      </x:c>
    </x:row>
    <x:row r="46">
      <x:c r="A46" t="str">
        <x:v>VD0045</x:v>
      </x:c>
      <x:c r="B46" t="str">
        <x:v>R04</x:v>
      </x:c>
      <x:c r="C46" t="str">
        <x:f>TRIM(B46)</x:f>
        <x:v>R04</x:v>
      </x:c>
      <x:c r="D46" t="str">
        <x:v>Khách hàng 045</x:v>
      </x:c>
      <x:c r="E46" s="12" t="n">
        <x:f>IFERROR(VLOOKUP(C46,BangGia!$A$2:$D$7,4,FALSE),"Chưa có giá")</x:f>
        <x:v>52000</x:v>
      </x:c>
      <x:c r="F46" t="str">
        <x:v>Không</x:v>
      </x:c>
      <x:c r="G46" t="n">
        <x:v>170</x:v>
      </x:c>
    </x:row>
    <x:row r="47">
      <x:c r="A47" t="str">
        <x:v>VD0046</x:v>
      </x:c>
      <x:c r="B47" t="str">
        <x:v>R05</x:v>
      </x:c>
      <x:c r="C47" t="str">
        <x:f>TRIM(B47)</x:f>
        <x:v>R05</x:v>
      </x:c>
      <x:c r="D47" t="str">
        <x:v>Khách hàng 046</x:v>
      </x:c>
      <x:c r="E47" s="12" t="n">
        <x:f>IFERROR(VLOOKUP(C47,BangGia!$A$2:$D$7,4,FALSE),"Chưa có giá")</x:f>
        <x:v>30000</x:v>
      </x:c>
      <x:c r="F47" t="str">
        <x:v>Có</x:v>
      </x:c>
      <x:c r="G47" t="n">
        <x:v>183</x:v>
      </x:c>
    </x:row>
    <x:row r="48">
      <x:c r="A48" t="str">
        <x:v>VD0047</x:v>
      </x:c>
      <x:c r="B48" t="str">
        <x:v>R06</x:v>
      </x:c>
      <x:c r="C48" t="str">
        <x:f>TRIM(B48)</x:f>
        <x:v>R06</x:v>
      </x:c>
      <x:c r="D48" t="str">
        <x:v>Khách hàng 047</x:v>
      </x:c>
      <x:c r="E48" s="12" t="n">
        <x:f>IFERROR(VLOOKUP(C48,BangGia!$A$2:$D$7,4,FALSE),"Chưa có giá")</x:f>
        <x:v>42000</x:v>
      </x:c>
      <x:c r="F48" t="str">
        <x:v>Có</x:v>
      </x:c>
      <x:c r="G48" t="n">
        <x:v>46</x:v>
      </x:c>
    </x:row>
    <x:row r="49">
      <x:c r="A49" t="str">
        <x:v>VD0048</x:v>
      </x:c>
      <x:c r="B49" t="str">
        <x:v>R01</x:v>
      </x:c>
      <x:c r="C49" t="str">
        <x:f>TRIM(B49)</x:f>
        <x:v>R01</x:v>
      </x:c>
      <x:c r="D49" t="str">
        <x:v>Khách hàng 048</x:v>
      </x:c>
      <x:c r="E49" s="12" t="n">
        <x:f>IFERROR(VLOOKUP(C49,BangGia!$A$2:$D$7,4,FALSE),"Chưa có giá")</x:f>
        <x:v>22000</x:v>
      </x:c>
      <x:c r="F49" t="str">
        <x:v>Có</x:v>
      </x:c>
      <x:c r="G49" t="n">
        <x:v>59</x:v>
      </x:c>
    </x:row>
    <x:row r="50">
      <x:c r="A50" t="str">
        <x:v>VD0049</x:v>
      </x:c>
      <x:c r="B50" t="str">
        <x:v>R02</x:v>
      </x:c>
      <x:c r="C50" t="str">
        <x:f>TRIM(B50)</x:f>
        <x:v>R02</x:v>
      </x:c>
      <x:c r="D50" t="str">
        <x:v>Khách hàng 049</x:v>
      </x:c>
      <x:c r="E50" s="12" t="n">
        <x:f>IFERROR(VLOOKUP(C50,BangGia!$A$2:$D$7,4,FALSE),"Chưa có giá")</x:f>
        <x:v>45000</x:v>
      </x:c>
      <x:c r="F50" t="str">
        <x:v>Có</x:v>
      </x:c>
      <x:c r="G50" t="n">
        <x:v>72</x:v>
      </x:c>
    </x:row>
    <x:row r="51">
      <x:c r="A51" t="str">
        <x:v>VD0050</x:v>
      </x:c>
      <x:c r="B51" t="str">
        <x:v>R03</x:v>
      </x:c>
      <x:c r="C51" t="str">
        <x:f>TRIM(B51)</x:f>
        <x:v>R03</x:v>
      </x:c>
      <x:c r="D51" t="str">
        <x:v>Khách hàng 050</x:v>
      </x:c>
      <x:c r="E51" s="12" t="n">
        <x:f>IFERROR(VLOOKUP(C51,BangGia!$A$2:$D$7,4,FALSE),"Chưa có giá")</x:f>
        <x:v>38000</x:v>
      </x:c>
      <x:c r="F51" t="str">
        <x:v>Có</x:v>
      </x:c>
      <x:c r="G51" t="n">
        <x:v>85</x:v>
      </x:c>
    </x:row>
    <x:row r="52">
      <x:c r="A52" t="str">
        <x:v>VD0051</x:v>
      </x:c>
      <x:c r="B52" t="str">
        <x:v>R04</x:v>
      </x:c>
      <x:c r="C52" t="str">
        <x:f>TRIM(B52)</x:f>
        <x:v>R04</x:v>
      </x:c>
      <x:c r="D52" t="str">
        <x:v>Khách hàng 051</x:v>
      </x:c>
      <x:c r="E52" s="12" t="n">
        <x:f>IFERROR(VLOOKUP(C52,BangGia!$A$2:$D$7,4,FALSE),"Chưa có giá")</x:f>
        <x:v>52000</x:v>
      </x:c>
      <x:c r="F52" t="str">
        <x:v>Có</x:v>
      </x:c>
      <x:c r="G52" t="n">
        <x:v>98</x:v>
      </x:c>
    </x:row>
    <x:row r="53">
      <x:c r="A53" t="str">
        <x:v>VD0052</x:v>
      </x:c>
      <x:c r="B53" t="str">
        <x:v>R05</x:v>
      </x:c>
      <x:c r="C53" t="str">
        <x:f>TRIM(B53)</x:f>
        <x:v>R05</x:v>
      </x:c>
      <x:c r="D53" t="str">
        <x:v>Khách hàng 052</x:v>
      </x:c>
      <x:c r="E53" s="12" t="n">
        <x:f>IFERROR(VLOOKUP(C53,BangGia!$A$2:$D$7,4,FALSE),"Chưa có giá")</x:f>
        <x:v>30000</x:v>
      </x:c>
      <x:c r="F53" t="str">
        <x:v>Có</x:v>
      </x:c>
      <x:c r="G53" t="n">
        <x:v>111</x:v>
      </x:c>
    </x:row>
    <x:row r="54">
      <x:c r="A54" t="str">
        <x:v>VD0053</x:v>
      </x:c>
      <x:c r="B54" t="str">
        <x:v>R06</x:v>
      </x:c>
      <x:c r="C54" t="str">
        <x:f>TRIM(B54)</x:f>
        <x:v>R06</x:v>
      </x:c>
      <x:c r="D54" t="str">
        <x:v>Khách hàng 053</x:v>
      </x:c>
      <x:c r="E54" s="12" t="n">
        <x:f>IFERROR(VLOOKUP(C54,BangGia!$A$2:$D$7,4,FALSE),"Chưa có giá")</x:f>
        <x:v>42000</x:v>
      </x:c>
      <x:c r="F54" t="str">
        <x:v>Có</x:v>
      </x:c>
      <x:c r="G54" t="n">
        <x:v>124</x:v>
      </x:c>
    </x:row>
    <x:row r="55">
      <x:c r="A55" t="str">
        <x:v>VD0054</x:v>
      </x:c>
      <x:c r="B55" t="str">
        <x:v>R01</x:v>
      </x:c>
      <x:c r="C55" t="str">
        <x:f>TRIM(B55)</x:f>
        <x:v>R01</x:v>
      </x:c>
      <x:c r="D55" t="str">
        <x:v>Khách hàng 054</x:v>
      </x:c>
      <x:c r="E55" s="12" t="n">
        <x:f>IFERROR(VLOOKUP(C55,BangGia!$A$2:$D$7,4,FALSE),"Chưa có giá")</x:f>
        <x:v>22000</x:v>
      </x:c>
      <x:c r="F55" t="str">
        <x:v>Không</x:v>
      </x:c>
      <x:c r="G55" t="n">
        <x:v>137</x:v>
      </x:c>
    </x:row>
    <x:row r="56">
      <x:c r="A56" t="str">
        <x:v>VD0055</x:v>
      </x:c>
      <x:c r="B56" t="str">
        <x:v>R02</x:v>
      </x:c>
      <x:c r="C56" t="str">
        <x:f>TRIM(B56)</x:f>
        <x:v>R02</x:v>
      </x:c>
      <x:c r="D56" t="str">
        <x:v>Khách hàng 055</x:v>
      </x:c>
      <x:c r="E56" s="12" t="n">
        <x:f>IFERROR(VLOOKUP(C56,BangGia!$A$2:$D$7,4,FALSE),"Chưa có giá")</x:f>
        <x:v>45000</x:v>
      </x:c>
      <x:c r="F56" t="str">
        <x:v>Có</x:v>
      </x:c>
      <x:c r="G56" t="n">
        <x:v>150</x:v>
      </x:c>
    </x:row>
    <x:row r="57">
      <x:c r="A57" t="str">
        <x:v>VD0056</x:v>
      </x:c>
      <x:c r="B57" t="str">
        <x:v>R03</x:v>
      </x:c>
      <x:c r="C57" t="str">
        <x:f>TRIM(B57)</x:f>
        <x:v>R03</x:v>
      </x:c>
      <x:c r="D57" t="str">
        <x:v>Khách hàng 056</x:v>
      </x:c>
      <x:c r="E57" s="12" t="n">
        <x:f>IFERROR(VLOOKUP(C57,BangGia!$A$2:$D$7,4,FALSE),"Chưa có giá")</x:f>
        <x:v>38000</x:v>
      </x:c>
      <x:c r="F57" t="str">
        <x:v>Có</x:v>
      </x:c>
      <x:c r="G57" t="n">
        <x:v>163</x:v>
      </x:c>
    </x:row>
    <x:row r="58">
      <x:c r="A58" t="str">
        <x:v>VD0057</x:v>
      </x:c>
      <x:c r="B58" t="str">
        <x:v>R04</x:v>
      </x:c>
      <x:c r="C58" t="str">
        <x:f>TRIM(B58)</x:f>
        <x:v>R04</x:v>
      </x:c>
      <x:c r="D58" t="str">
        <x:v>Khách hàng 057</x:v>
      </x:c>
      <x:c r="E58" s="12" t="n">
        <x:f>IFERROR(VLOOKUP(C58,BangGia!$A$2:$D$7,4,FALSE),"Chưa có giá")</x:f>
        <x:v>52000</x:v>
      </x:c>
      <x:c r="F58" t="str">
        <x:v>Có</x:v>
      </x:c>
      <x:c r="G58" t="n">
        <x:v>176</x:v>
      </x:c>
    </x:row>
    <x:row r="59">
      <x:c r="A59" t="str">
        <x:v>VD0058</x:v>
      </x:c>
      <x:c r="B59" t="str">
        <x:v>R05</x:v>
      </x:c>
      <x:c r="C59" t="str">
        <x:f>TRIM(B59)</x:f>
        <x:v>R05</x:v>
      </x:c>
      <x:c r="D59" t="str">
        <x:v>Khách hàng 058</x:v>
      </x:c>
      <x:c r="E59" s="12" t="n">
        <x:f>IFERROR(VLOOKUP(C59,BangGia!$A$2:$D$7,4,FALSE),"Chưa có giá")</x:f>
        <x:v>30000</x:v>
      </x:c>
      <x:c r="F59" t="str">
        <x:v>Có</x:v>
      </x:c>
      <x:c r="G59" t="n">
        <x:v>39</x:v>
      </x:c>
    </x:row>
    <x:row r="60">
      <x:c r="A60" t="str">
        <x:v>VD0059</x:v>
      </x:c>
      <x:c r="B60" t="str">
        <x:v>R06</x:v>
      </x:c>
      <x:c r="C60" t="str">
        <x:f>TRIM(B60)</x:f>
        <x:v>R06</x:v>
      </x:c>
      <x:c r="D60" t="str">
        <x:v>Khách hàng 059</x:v>
      </x:c>
      <x:c r="E60" s="12" t="n">
        <x:f>IFERROR(VLOOKUP(C60,BangGia!$A$2:$D$7,4,FALSE),"Chưa có giá")</x:f>
        <x:v>42000</x:v>
      </x:c>
      <x:c r="F60" t="str">
        <x:v>Có</x:v>
      </x:c>
      <x:c r="G60" t="n">
        <x:v>52</x:v>
      </x:c>
    </x:row>
    <x:row r="61">
      <x:c r="A61" t="str">
        <x:v>VD0060</x:v>
      </x:c>
      <x:c r="B61" t="str">
        <x:v>R01</x:v>
      </x:c>
      <x:c r="C61" t="str">
        <x:f>TRIM(B61)</x:f>
        <x:v>R01</x:v>
      </x:c>
      <x:c r="D61" t="str">
        <x:v>Khách hàng 060</x:v>
      </x:c>
      <x:c r="E61" s="12" t="n">
        <x:f>IFERROR(VLOOKUP(C61,BangGia!$A$2:$D$7,4,FALSE),"Chưa có giá")</x:f>
        <x:v>22000</x:v>
      </x:c>
      <x:c r="F61" t="str">
        <x:v>Có</x:v>
      </x:c>
      <x:c r="G61" t="n">
        <x:v>65</x:v>
      </x:c>
    </x:row>
    <x:row r="62">
      <x:c r="A62" t="str">
        <x:v>VD0061</x:v>
      </x:c>
      <x:c r="B62" t="str">
        <x:v>R02</x:v>
      </x:c>
      <x:c r="C62" t="str">
        <x:f>TRIM(B62)</x:f>
        <x:v>R02</x:v>
      </x:c>
      <x:c r="D62" t="str">
        <x:v>Khách hàng 061</x:v>
      </x:c>
      <x:c r="E62" s="12" t="n">
        <x:f>IFERROR(VLOOKUP(C62,BangGia!$A$2:$D$7,4,FALSE),"Chưa có giá")</x:f>
        <x:v>45000</x:v>
      </x:c>
      <x:c r="F62" t="str">
        <x:v>Có</x:v>
      </x:c>
      <x:c r="G62" t="n">
        <x:v>78</x:v>
      </x:c>
    </x:row>
    <x:row r="63">
      <x:c r="A63" t="str">
        <x:v>VD0062</x:v>
      </x:c>
      <x:c r="B63" t="str">
        <x:v>R03</x:v>
      </x:c>
      <x:c r="C63" t="str">
        <x:f>TRIM(B63)</x:f>
        <x:v>R03</x:v>
      </x:c>
      <x:c r="D63" t="str">
        <x:v>Khách hàng 062</x:v>
      </x:c>
      <x:c r="E63" s="12" t="n">
        <x:f>IFERROR(VLOOKUP(C63,BangGia!$A$2:$D$7,4,FALSE),"Chưa có giá")</x:f>
        <x:v>38000</x:v>
      </x:c>
      <x:c r="F63" t="str">
        <x:v>Có</x:v>
      </x:c>
      <x:c r="G63" t="n">
        <x:v>91</x:v>
      </x:c>
    </x:row>
    <x:row r="64">
      <x:c r="A64" t="str">
        <x:v>VD0063</x:v>
      </x:c>
      <x:c r="B64" t="str">
        <x:v>R04</x:v>
      </x:c>
      <x:c r="C64" t="str">
        <x:f>TRIM(B64)</x:f>
        <x:v>R04</x:v>
      </x:c>
      <x:c r="D64" t="str">
        <x:v>Khách hàng 063</x:v>
      </x:c>
      <x:c r="E64" s="12" t="n">
        <x:f>IFERROR(VLOOKUP(C64,BangGia!$A$2:$D$7,4,FALSE),"Chưa có giá")</x:f>
        <x:v>52000</x:v>
      </x:c>
      <x:c r="F64" t="str">
        <x:v>Không</x:v>
      </x:c>
      <x:c r="G64" t="n">
        <x:v>104</x:v>
      </x:c>
    </x:row>
    <x:row r="65">
      <x:c r="A65" t="str">
        <x:v>VD0064</x:v>
      </x:c>
      <x:c r="B65" t="str">
        <x:v>R05</x:v>
      </x:c>
      <x:c r="C65" t="str">
        <x:f>TRIM(B65)</x:f>
        <x:v>R05</x:v>
      </x:c>
      <x:c r="D65" t="str">
        <x:v>Khách hàng 064</x:v>
      </x:c>
      <x:c r="E65" s="12" t="n">
        <x:f>IFERROR(VLOOKUP(C65,BangGia!$A$2:$D$7,4,FALSE),"Chưa có giá")</x:f>
        <x:v>30000</x:v>
      </x:c>
      <x:c r="F65" t="str">
        <x:v>Có</x:v>
      </x:c>
      <x:c r="G65" t="n">
        <x:v>117</x:v>
      </x:c>
    </x:row>
    <x:row r="66">
      <x:c r="A66" t="str">
        <x:v>VD0065</x:v>
      </x:c>
      <x:c r="B66" t="str">
        <x:v>R06</x:v>
      </x:c>
      <x:c r="C66" t="str">
        <x:f>TRIM(B66)</x:f>
        <x:v>R06</x:v>
      </x:c>
      <x:c r="D66" t="str">
        <x:v>Khách hàng 065</x:v>
      </x:c>
      <x:c r="E66" s="12" t="n">
        <x:f>IFERROR(VLOOKUP(C66,BangGia!$A$2:$D$7,4,FALSE),"Chưa có giá")</x:f>
        <x:v>42000</x:v>
      </x:c>
      <x:c r="F66" t="str">
        <x:v>Có</x:v>
      </x:c>
      <x:c r="G66" t="n">
        <x:v>130</x:v>
      </x:c>
    </x:row>
    <x:row r="67">
      <x:c r="A67" t="str">
        <x:v>VD0066</x:v>
      </x:c>
      <x:c r="B67" t="str">
        <x:v>R01</x:v>
      </x:c>
      <x:c r="C67" t="str">
        <x:f>TRIM(B67)</x:f>
        <x:v>R01</x:v>
      </x:c>
      <x:c r="D67" t="str">
        <x:v>Khách hàng 066</x:v>
      </x:c>
      <x:c r="E67" s="12" t="n">
        <x:f>IFERROR(VLOOKUP(C67,BangGia!$A$2:$D$7,4,FALSE),"Chưa có giá")</x:f>
        <x:v>22000</x:v>
      </x:c>
      <x:c r="F67" t="str">
        <x:v>Có</x:v>
      </x:c>
      <x:c r="G67" t="n">
        <x:v>143</x:v>
      </x:c>
    </x:row>
    <x:row r="68">
      <x:c r="A68" t="str">
        <x:v>VD0067</x:v>
      </x:c>
      <x:c r="B68" t="str">
        <x:v>R02</x:v>
      </x:c>
      <x:c r="C68" t="str">
        <x:f>TRIM(B68)</x:f>
        <x:v>R02</x:v>
      </x:c>
      <x:c r="D68" t="str">
        <x:v>Khách hàng 067</x:v>
      </x:c>
      <x:c r="E68" s="12" t="n">
        <x:f>IFERROR(VLOOKUP(C68,BangGia!$A$2:$D$7,4,FALSE),"Chưa có giá")</x:f>
        <x:v>45000</x:v>
      </x:c>
      <x:c r="F68" t="str">
        <x:v>Có</x:v>
      </x:c>
      <x:c r="G68" t="n">
        <x:v>156</x:v>
      </x:c>
    </x:row>
    <x:row r="69">
      <x:c r="A69" t="str">
        <x:v>VD0068</x:v>
      </x:c>
      <x:c r="B69" t="str">
        <x:v>R03</x:v>
      </x:c>
      <x:c r="C69" t="str">
        <x:f>TRIM(B69)</x:f>
        <x:v>R03</x:v>
      </x:c>
      <x:c r="D69" t="str">
        <x:v>Khách hàng 068</x:v>
      </x:c>
      <x:c r="E69" s="12" t="n">
        <x:f>IFERROR(VLOOKUP(C69,BangGia!$A$2:$D$7,4,FALSE),"Chưa có giá")</x:f>
        <x:v>38000</x:v>
      </x:c>
      <x:c r="F69" t="str">
        <x:v>Có</x:v>
      </x:c>
      <x:c r="G69" t="n">
        <x:v>169</x:v>
      </x:c>
    </x:row>
    <x:row r="70">
      <x:c r="A70" t="str">
        <x:v>VD0069</x:v>
      </x:c>
      <x:c r="B70" t="str">
        <x:v>R04</x:v>
      </x:c>
      <x:c r="C70" t="str">
        <x:f>TRIM(B70)</x:f>
        <x:v>R04</x:v>
      </x:c>
      <x:c r="D70" t="str">
        <x:v>Khách hàng 069</x:v>
      </x:c>
      <x:c r="E70" s="12" t="n">
        <x:f>IFERROR(VLOOKUP(C70,BangGia!$A$2:$D$7,4,FALSE),"Chưa có giá")</x:f>
        <x:v>52000</x:v>
      </x:c>
      <x:c r="F70" t="str">
        <x:v>Có</x:v>
      </x:c>
      <x:c r="G70" t="n">
        <x:v>182</x:v>
      </x:c>
    </x:row>
    <x:row r="71">
      <x:c r="A71" t="str">
        <x:v>VD0070</x:v>
      </x:c>
      <x:c r="B71" t="str">
        <x:v>R05</x:v>
      </x:c>
      <x:c r="C71" t="str">
        <x:f>TRIM(B71)</x:f>
        <x:v>R05</x:v>
      </x:c>
      <x:c r="D71" t="str">
        <x:v>Khách hàng 070</x:v>
      </x:c>
      <x:c r="E71" s="12" t="n">
        <x:f>IFERROR(VLOOKUP(C71,BangGia!$A$2:$D$7,4,FALSE),"Chưa có giá")</x:f>
        <x:v>30000</x:v>
      </x:c>
      <x:c r="F71" t="str">
        <x:v>Có</x:v>
      </x:c>
      <x:c r="G71" t="n">
        <x:v>45</x:v>
      </x:c>
    </x:row>
    <x:row r="72">
      <x:c r="A72" t="str">
        <x:v>VD0071</x:v>
      </x:c>
      <x:c r="B72" t="str">
        <x:v>R06</x:v>
      </x:c>
      <x:c r="C72" t="str">
        <x:f>TRIM(B72)</x:f>
        <x:v>R06</x:v>
      </x:c>
      <x:c r="D72" t="str">
        <x:v>Khách hàng 071</x:v>
      </x:c>
      <x:c r="E72" s="12" t="n">
        <x:f>IFERROR(VLOOKUP(C72,BangGia!$A$2:$D$7,4,FALSE),"Chưa có giá")</x:f>
        <x:v>42000</x:v>
      </x:c>
      <x:c r="F72" t="str">
        <x:v>Có</x:v>
      </x:c>
      <x:c r="G72" t="n">
        <x:v>58</x:v>
      </x:c>
    </x:row>
    <x:row r="73">
      <x:c r="A73" t="str">
        <x:v>VD0072</x:v>
      </x:c>
      <x:c r="B73" t="str">
        <x:v>R01</x:v>
      </x:c>
      <x:c r="C73" t="str">
        <x:f>TRIM(B73)</x:f>
        <x:v>R01</x:v>
      </x:c>
      <x:c r="D73" t="str">
        <x:v>Khách hàng 072</x:v>
      </x:c>
      <x:c r="E73" s="12" t="n">
        <x:f>IFERROR(VLOOKUP(C73,BangGia!$A$2:$D$7,4,FALSE),"Chưa có giá")</x:f>
        <x:v>22000</x:v>
      </x:c>
      <x:c r="F73" t="str">
        <x:v>Không</x:v>
      </x:c>
      <x:c r="G73" t="n">
        <x:v>71</x:v>
      </x:c>
    </x:row>
    <x:row r="74">
      <x:c r="A74" t="str">
        <x:v>VD0073</x:v>
      </x:c>
      <x:c r="B74" t="str">
        <x:v>R02</x:v>
      </x:c>
      <x:c r="C74" t="str">
        <x:f>TRIM(B74)</x:f>
        <x:v>R02</x:v>
      </x:c>
      <x:c r="D74" t="str">
        <x:v>Khách hàng 073</x:v>
      </x:c>
      <x:c r="E74" s="12" t="n">
        <x:f>IFERROR(VLOOKUP(C74,BangGia!$A$2:$D$7,4,FALSE),"Chưa có giá")</x:f>
        <x:v>45000</x:v>
      </x:c>
      <x:c r="F74" t="str">
        <x:v>Có</x:v>
      </x:c>
      <x:c r="G74" t="n">
        <x:v>84</x:v>
      </x:c>
    </x:row>
    <x:row r="75">
      <x:c r="A75" t="str">
        <x:v>VD0074</x:v>
      </x:c>
      <x:c r="B75" t="str">
        <x:v>R03</x:v>
      </x:c>
      <x:c r="C75" t="str">
        <x:f>TRIM(B75)</x:f>
        <x:v>R03</x:v>
      </x:c>
      <x:c r="D75" t="str">
        <x:v>Khách hàng 074</x:v>
      </x:c>
      <x:c r="E75" s="12" t="n">
        <x:f>IFERROR(VLOOKUP(C75,BangGia!$A$2:$D$7,4,FALSE),"Chưa có giá")</x:f>
        <x:v>38000</x:v>
      </x:c>
      <x:c r="F75" t="str">
        <x:v>Có</x:v>
      </x:c>
      <x:c r="G75" t="n">
        <x:v>97</x:v>
      </x:c>
    </x:row>
    <x:row r="76">
      <x:c r="A76" t="str">
        <x:v>VD0075</x:v>
      </x:c>
      <x:c r="B76" t="str">
        <x:v>R04</x:v>
      </x:c>
      <x:c r="C76" t="str">
        <x:f>TRIM(B76)</x:f>
        <x:v>R04</x:v>
      </x:c>
      <x:c r="D76" t="str">
        <x:v>Khách hàng 075</x:v>
      </x:c>
      <x:c r="E76" s="12" t="n">
        <x:f>IFERROR(VLOOKUP(C76,BangGia!$A$2:$D$7,4,FALSE),"Chưa có giá")</x:f>
        <x:v>52000</x:v>
      </x:c>
      <x:c r="F76" t="str">
        <x:v>Có</x:v>
      </x:c>
      <x:c r="G76" t="n">
        <x:v>110</x:v>
      </x:c>
    </x:row>
    <x:row r="77">
      <x:c r="A77" t="str">
        <x:v>VD0076</x:v>
      </x:c>
      <x:c r="B77" t="str">
        <x:v>R05</x:v>
      </x:c>
      <x:c r="C77" t="str">
        <x:f>TRIM(B77)</x:f>
        <x:v>R05</x:v>
      </x:c>
      <x:c r="D77" t="str">
        <x:v>Khách hàng 076</x:v>
      </x:c>
      <x:c r="E77" s="12" t="n">
        <x:f>IFERROR(VLOOKUP(C77,BangGia!$A$2:$D$7,4,FALSE),"Chưa có giá")</x:f>
        <x:v>30000</x:v>
      </x:c>
      <x:c r="F77" t="str">
        <x:v>Có</x:v>
      </x:c>
      <x:c r="G77" t="n">
        <x:v>123</x:v>
      </x:c>
    </x:row>
    <x:row r="78">
      <x:c r="A78" t="str">
        <x:v>VD0077</x:v>
      </x:c>
      <x:c r="B78" t="str">
        <x:v>R06</x:v>
      </x:c>
      <x:c r="C78" t="str">
        <x:f>TRIM(B78)</x:f>
        <x:v>R06</x:v>
      </x:c>
      <x:c r="D78" t="str">
        <x:v>Khách hàng 077</x:v>
      </x:c>
      <x:c r="E78" s="12" t="n">
        <x:f>IFERROR(VLOOKUP(C78,BangGia!$A$2:$D$7,4,FALSE),"Chưa có giá")</x:f>
        <x:v>42000</x:v>
      </x:c>
      <x:c r="F78" t="str">
        <x:v>Có</x:v>
      </x:c>
      <x:c r="G78" t="n">
        <x:v>136</x:v>
      </x:c>
    </x:row>
    <x:row r="79">
      <x:c r="A79" t="str">
        <x:v>VD0078</x:v>
      </x:c>
      <x:c r="B79" t="str">
        <x:v>R01</x:v>
      </x:c>
      <x:c r="C79" t="str">
        <x:f>TRIM(B79)</x:f>
        <x:v>R01</x:v>
      </x:c>
      <x:c r="D79" t="str">
        <x:v>Khách hàng 078</x:v>
      </x:c>
      <x:c r="E79" s="12" t="n">
        <x:f>IFERROR(VLOOKUP(C79,BangGia!$A$2:$D$7,4,FALSE),"Chưa có giá")</x:f>
        <x:v>22000</x:v>
      </x:c>
      <x:c r="F79" t="str">
        <x:v>Có</x:v>
      </x:c>
      <x:c r="G79" t="n">
        <x:v>149</x:v>
      </x:c>
    </x:row>
    <x:row r="80">
      <x:c r="A80" t="str">
        <x:v>VD0079</x:v>
      </x:c>
      <x:c r="B80" t="str">
        <x:v>R02</x:v>
      </x:c>
      <x:c r="C80" t="str">
        <x:f>TRIM(B80)</x:f>
        <x:v>R02</x:v>
      </x:c>
      <x:c r="D80" t="str">
        <x:v>Khách hàng 079</x:v>
      </x:c>
      <x:c r="E80" s="12" t="n">
        <x:f>IFERROR(VLOOKUP(C80,BangGia!$A$2:$D$7,4,FALSE),"Chưa có giá")</x:f>
        <x:v>45000</x:v>
      </x:c>
      <x:c r="F80" t="str">
        <x:v>Có</x:v>
      </x:c>
      <x:c r="G80" t="n">
        <x:v>162</x:v>
      </x:c>
    </x:row>
    <x:row r="81">
      <x:c r="A81" t="str">
        <x:v>VD0080</x:v>
      </x:c>
      <x:c r="B81" t="str">
        <x:v>R03</x:v>
      </x:c>
      <x:c r="C81" t="str">
        <x:f>TRIM(B81)</x:f>
        <x:v>R03</x:v>
      </x:c>
      <x:c r="D81" t="str">
        <x:v>Khách hàng 080</x:v>
      </x:c>
      <x:c r="E81" s="12" t="n">
        <x:f>IFERROR(VLOOKUP(C81,BangGia!$A$2:$D$7,4,FALSE),"Chưa có giá")</x:f>
        <x:v>38000</x:v>
      </x:c>
      <x:c r="F81" t="str">
        <x:v>Có</x:v>
      </x:c>
      <x:c r="G81" t="n">
        <x:v>175</x:v>
      </x:c>
    </x:row>
    <x:row r="82">
      <x:c r="A82" t="str">
        <x:v>VD0081</x:v>
      </x:c>
      <x:c r="B82" t="str">
        <x:v>R04</x:v>
      </x:c>
      <x:c r="C82" t="str">
        <x:f>TRIM(B82)</x:f>
        <x:v>R04</x:v>
      </x:c>
      <x:c r="D82" t="str">
        <x:v>Khách hàng 081</x:v>
      </x:c>
      <x:c r="E82" s="12" t="n">
        <x:f>IFERROR(VLOOKUP(C82,BangGia!$A$2:$D$7,4,FALSE),"Chưa có giá")</x:f>
        <x:v>52000</x:v>
      </x:c>
      <x:c r="F82" t="str">
        <x:v>Không</x:v>
      </x:c>
      <x:c r="G82" t="n">
        <x:v>38</x:v>
      </x:c>
    </x:row>
    <x:row r="83">
      <x:c r="A83" t="str">
        <x:v>VD0082</x:v>
      </x:c>
      <x:c r="B83" t="str">
        <x:v>R05 </x:v>
      </x:c>
      <x:c r="C83" t="str">
        <x:f>TRIM(B83)</x:f>
        <x:v>R05</x:v>
      </x:c>
      <x:c r="D83" t="str">
        <x:v>Khách hàng 082</x:v>
      </x:c>
      <x:c r="E83" s="12" t="n">
        <x:f>IFERROR(VLOOKUP(C83,BangGia!$A$2:$D$7,4,FALSE),"Chưa có giá")</x:f>
        <x:v>30000</x:v>
      </x:c>
      <x:c r="F83" t="str">
        <x:v>Có</x:v>
      </x:c>
      <x:c r="G83" t="n">
        <x:v>51</x:v>
      </x:c>
    </x:row>
    <x:row r="84">
      <x:c r="A84" t="str">
        <x:v>VD0083</x:v>
      </x:c>
      <x:c r="B84" t="str">
        <x:v>R06</x:v>
      </x:c>
      <x:c r="C84" t="str">
        <x:f>TRIM(B84)</x:f>
        <x:v>R06</x:v>
      </x:c>
      <x:c r="D84" t="str">
        <x:v>Khách hàng 083</x:v>
      </x:c>
      <x:c r="E84" s="12" t="n">
        <x:f>IFERROR(VLOOKUP(C84,BangGia!$A$2:$D$7,4,FALSE),"Chưa có giá")</x:f>
        <x:v>42000</x:v>
      </x:c>
      <x:c r="F84" t="str">
        <x:v>Có</x:v>
      </x:c>
      <x:c r="G84" t="n">
        <x:v>64</x:v>
      </x:c>
    </x:row>
    <x:row r="85">
      <x:c r="A85" t="str">
        <x:v>VD0084</x:v>
      </x:c>
      <x:c r="B85" t="str">
        <x:v>R01</x:v>
      </x:c>
      <x:c r="C85" t="str">
        <x:f>TRIM(B85)</x:f>
        <x:v>R01</x:v>
      </x:c>
      <x:c r="D85" t="str">
        <x:v>Khách hàng 084</x:v>
      </x:c>
      <x:c r="E85" s="12" t="n">
        <x:f>IFERROR(VLOOKUP(C85,BangGia!$A$2:$D$7,4,FALSE),"Chưa có giá")</x:f>
        <x:v>22000</x:v>
      </x:c>
      <x:c r="F85" t="str">
        <x:v>Có</x:v>
      </x:c>
      <x:c r="G85" t="n">
        <x:v>77</x:v>
      </x:c>
    </x:row>
    <x:row r="86">
      <x:c r="A86" t="str">
        <x:v>VD0085</x:v>
      </x:c>
      <x:c r="B86" t="str">
        <x:v>R02</x:v>
      </x:c>
      <x:c r="C86" t="str">
        <x:f>TRIM(B86)</x:f>
        <x:v>R02</x:v>
      </x:c>
      <x:c r="D86" t="str">
        <x:v>Khách hàng 085</x:v>
      </x:c>
      <x:c r="E86" s="12" t="n">
        <x:f>IFERROR(VLOOKUP(C86,BangGia!$A$2:$D$7,4,FALSE),"Chưa có giá")</x:f>
        <x:v>45000</x:v>
      </x:c>
      <x:c r="F86" t="str">
        <x:v>Có</x:v>
      </x:c>
      <x:c r="G86" t="n">
        <x:v>90</x:v>
      </x:c>
    </x:row>
    <x:row r="87">
      <x:c r="A87" t="str">
        <x:v>VD0086</x:v>
      </x:c>
      <x:c r="B87" t="str">
        <x:v>R03</x:v>
      </x:c>
      <x:c r="C87" t="str">
        <x:f>TRIM(B87)</x:f>
        <x:v>R03</x:v>
      </x:c>
      <x:c r="D87" t="str">
        <x:v>Khách hàng 086</x:v>
      </x:c>
      <x:c r="E87" s="12" t="n">
        <x:f>IFERROR(VLOOKUP(C87,BangGia!$A$2:$D$7,4,FALSE),"Chưa có giá")</x:f>
        <x:v>38000</x:v>
      </x:c>
      <x:c r="F87" t="str">
        <x:v>Có</x:v>
      </x:c>
      <x:c r="G87" t="n">
        <x:v>103</x:v>
      </x:c>
    </x:row>
    <x:row r="88">
      <x:c r="A88" t="str">
        <x:v>VD0087</x:v>
      </x:c>
      <x:c r="B88" t="str">
        <x:v>R04</x:v>
      </x:c>
      <x:c r="C88" t="str">
        <x:f>TRIM(B88)</x:f>
        <x:v>R04</x:v>
      </x:c>
      <x:c r="D88" t="str">
        <x:v>Khách hàng 087</x:v>
      </x:c>
      <x:c r="E88" s="12" t="n">
        <x:f>IFERROR(VLOOKUP(C88,BangGia!$A$2:$D$7,4,FALSE),"Chưa có giá")</x:f>
        <x:v>52000</x:v>
      </x:c>
      <x:c r="F88" t="str">
        <x:v>Có</x:v>
      </x:c>
      <x:c r="G88" t="n">
        <x:v>116</x:v>
      </x:c>
    </x:row>
    <x:row r="89">
      <x:c r="A89" t="str">
        <x:v>VD0088</x:v>
      </x:c>
      <x:c r="B89" t="str">
        <x:v>R05</x:v>
      </x:c>
      <x:c r="C89" t="str">
        <x:f>TRIM(B89)</x:f>
        <x:v>R05</x:v>
      </x:c>
      <x:c r="D89" t="str">
        <x:v>Khách hàng 088</x:v>
      </x:c>
      <x:c r="E89" s="12" t="n">
        <x:f>IFERROR(VLOOKUP(C89,BangGia!$A$2:$D$7,4,FALSE),"Chưa có giá")</x:f>
        <x:v>30000</x:v>
      </x:c>
      <x:c r="F89" t="str">
        <x:v>Có</x:v>
      </x:c>
      <x:c r="G89" t="n">
        <x:v>129</x:v>
      </x:c>
    </x:row>
    <x:row r="90">
      <x:c r="A90" t="str">
        <x:v>VD0089</x:v>
      </x:c>
      <x:c r="B90" t="str">
        <x:v>R06</x:v>
      </x:c>
      <x:c r="C90" t="str">
        <x:f>TRIM(B90)</x:f>
        <x:v>R06</x:v>
      </x:c>
      <x:c r="D90" t="str">
        <x:v>Khách hàng 089</x:v>
      </x:c>
      <x:c r="E90" s="12" t="n">
        <x:f>IFERROR(VLOOKUP(C90,BangGia!$A$2:$D$7,4,FALSE),"Chưa có giá")</x:f>
        <x:v>42000</x:v>
      </x:c>
      <x:c r="F90" t="str">
        <x:v>Có</x:v>
      </x:c>
      <x:c r="G90" t="n">
        <x:v>142</x:v>
      </x:c>
    </x:row>
    <x:row r="91">
      <x:c r="A91" t="str">
        <x:v>VD0090</x:v>
      </x:c>
      <x:c r="B91" t="str">
        <x:v>R01</x:v>
      </x:c>
      <x:c r="C91" t="str">
        <x:f>TRIM(B91)</x:f>
        <x:v>R01</x:v>
      </x:c>
      <x:c r="D91" t="str">
        <x:v>Khách hàng 090</x:v>
      </x:c>
      <x:c r="E91" s="12" t="n">
        <x:f>IFERROR(VLOOKUP(C91,BangGia!$A$2:$D$7,4,FALSE),"Chưa có giá")</x:f>
        <x:v>22000</x:v>
      </x:c>
      <x:c r="F91" t="str">
        <x:v>Không</x:v>
      </x:c>
      <x:c r="G91" t="n">
        <x:v>155</x:v>
      </x:c>
    </x:row>
    <x:row r="92">
      <x:c r="A92" t="str">
        <x:v>VD0091</x:v>
      </x:c>
      <x:c r="B92" t="str">
        <x:v>R02</x:v>
      </x:c>
      <x:c r="C92" t="str">
        <x:f>TRIM(B92)</x:f>
        <x:v>R02</x:v>
      </x:c>
      <x:c r="D92" t="str">
        <x:v>Khách hàng 091</x:v>
      </x:c>
      <x:c r="E92" s="12" t="n">
        <x:f>IFERROR(VLOOKUP(C92,BangGia!$A$2:$D$7,4,FALSE),"Chưa có giá")</x:f>
        <x:v>45000</x:v>
      </x:c>
      <x:c r="F92" t="str">
        <x:v>Có</x:v>
      </x:c>
      <x:c r="G92" t="n">
        <x:v>168</x:v>
      </x:c>
    </x:row>
    <x:row r="93">
      <x:c r="A93" t="str">
        <x:v>VD0092</x:v>
      </x:c>
      <x:c r="B93" t="str">
        <x:v>R03</x:v>
      </x:c>
      <x:c r="C93" t="str">
        <x:f>TRIM(B93)</x:f>
        <x:v>R03</x:v>
      </x:c>
      <x:c r="D93" t="str">
        <x:v>Khách hàng 092</x:v>
      </x:c>
      <x:c r="E93" s="12" t="n">
        <x:f>IFERROR(VLOOKUP(C93,BangGia!$A$2:$D$7,4,FALSE),"Chưa có giá")</x:f>
        <x:v>38000</x:v>
      </x:c>
      <x:c r="F93" t="str">
        <x:v>Có</x:v>
      </x:c>
      <x:c r="G93" t="n">
        <x:v>181</x:v>
      </x:c>
    </x:row>
    <x:row r="94">
      <x:c r="A94" t="str">
        <x:v>VD0093</x:v>
      </x:c>
      <x:c r="B94" t="str">
        <x:v>R04</x:v>
      </x:c>
      <x:c r="C94" t="str">
        <x:f>TRIM(B94)</x:f>
        <x:v>R04</x:v>
      </x:c>
      <x:c r="D94" t="str">
        <x:v>Khách hàng 093</x:v>
      </x:c>
      <x:c r="E94" s="12" t="n">
        <x:f>IFERROR(VLOOKUP(C94,BangGia!$A$2:$D$7,4,FALSE),"Chưa có giá")</x:f>
        <x:v>52000</x:v>
      </x:c>
      <x:c r="F94" t="str">
        <x:v>Có</x:v>
      </x:c>
      <x:c r="G94" t="n">
        <x:v>44</x:v>
      </x:c>
    </x:row>
    <x:row r="95">
      <x:c r="A95" t="str">
        <x:v>VD0094</x:v>
      </x:c>
      <x:c r="B95" t="str">
        <x:v>R05</x:v>
      </x:c>
      <x:c r="C95" t="str">
        <x:f>TRIM(B95)</x:f>
        <x:v>R05</x:v>
      </x:c>
      <x:c r="D95" t="str">
        <x:v>Khách hàng 094</x:v>
      </x:c>
      <x:c r="E95" s="12" t="n">
        <x:f>IFERROR(VLOOKUP(C95,BangGia!$A$2:$D$7,4,FALSE),"Chưa có giá")</x:f>
        <x:v>30000</x:v>
      </x:c>
      <x:c r="F95" t="str">
        <x:v>Có</x:v>
      </x:c>
      <x:c r="G95" t="n">
        <x:v>57</x:v>
      </x:c>
    </x:row>
    <x:row r="96">
      <x:c r="A96" t="str">
        <x:v>VD0095</x:v>
      </x:c>
      <x:c r="B96" t="str">
        <x:v>R06</x:v>
      </x:c>
      <x:c r="C96" t="str">
        <x:f>TRIM(B96)</x:f>
        <x:v>R06</x:v>
      </x:c>
      <x:c r="D96" t="str">
        <x:v>Khách hàng 095</x:v>
      </x:c>
      <x:c r="E96" s="12" t="n">
        <x:f>IFERROR(VLOOKUP(C96,BangGia!$A$2:$D$7,4,FALSE),"Chưa có giá")</x:f>
        <x:v>42000</x:v>
      </x:c>
      <x:c r="F96" t="str">
        <x:v>Có</x:v>
      </x:c>
      <x:c r="G96" t="n">
        <x:v>70</x:v>
      </x:c>
    </x:row>
    <x:row r="97">
      <x:c r="A97" t="str">
        <x:v>VD0096</x:v>
      </x:c>
      <x:c r="B97" t="str">
        <x:v>R01</x:v>
      </x:c>
      <x:c r="C97" t="str">
        <x:f>TRIM(B97)</x:f>
        <x:v>R01</x:v>
      </x:c>
      <x:c r="D97" t="str">
        <x:v>Khách hàng 096</x:v>
      </x:c>
      <x:c r="E97" s="12" t="n">
        <x:f>IFERROR(VLOOKUP(C97,BangGia!$A$2:$D$7,4,FALSE),"Chưa có giá")</x:f>
        <x:v>22000</x:v>
      </x:c>
      <x:c r="F97" t="str">
        <x:v>Có</x:v>
      </x:c>
      <x:c r="G97" t="n">
        <x:v>83</x:v>
      </x:c>
    </x:row>
    <x:row r="98">
      <x:c r="A98" t="str">
        <x:v>VD0097</x:v>
      </x:c>
      <x:c r="B98" t="str">
        <x:v>R02</x:v>
      </x:c>
      <x:c r="C98" t="str">
        <x:f>TRIM(B98)</x:f>
        <x:v>R02</x:v>
      </x:c>
      <x:c r="D98" t="str">
        <x:v>Khách hàng 097</x:v>
      </x:c>
      <x:c r="E98" s="12" t="n">
        <x:f>IFERROR(VLOOKUP(C98,BangGia!$A$2:$D$7,4,FALSE),"Chưa có giá")</x:f>
        <x:v>45000</x:v>
      </x:c>
      <x:c r="F98" t="str">
        <x:v>Có</x:v>
      </x:c>
      <x:c r="G98" t="n">
        <x:v>96</x:v>
      </x:c>
    </x:row>
    <x:row r="99">
      <x:c r="A99" t="str">
        <x:v>VD0098</x:v>
      </x:c>
      <x:c r="B99" t="str">
        <x:v>R03</x:v>
      </x:c>
      <x:c r="C99" t="str">
        <x:f>TRIM(B99)</x:f>
        <x:v>R03</x:v>
      </x:c>
      <x:c r="D99" t="str">
        <x:v>Khách hàng 098</x:v>
      </x:c>
      <x:c r="E99" s="12" t="n">
        <x:f>IFERROR(VLOOKUP(C99,BangGia!$A$2:$D$7,4,FALSE),"Chưa có giá")</x:f>
        <x:v>38000</x:v>
      </x:c>
      <x:c r="F99" t="str">
        <x:v>Có</x:v>
      </x:c>
      <x:c r="G99" t="n">
        <x:v>109</x:v>
      </x:c>
    </x:row>
    <x:row r="100">
      <x:c r="A100" t="str">
        <x:v>VD0099</x:v>
      </x:c>
      <x:c r="B100" t="str">
        <x:v>R04</x:v>
      </x:c>
      <x:c r="C100" t="str">
        <x:f>TRIM(B100)</x:f>
        <x:v>R04</x:v>
      </x:c>
      <x:c r="D100" t="str">
        <x:v>Khách hàng 099</x:v>
      </x:c>
      <x:c r="E100" s="12" t="n">
        <x:f>IFERROR(VLOOKUP(C100,BangGia!$A$2:$D$7,4,FALSE),"Chưa có giá")</x:f>
        <x:v>52000</x:v>
      </x:c>
      <x:c r="F100" t="str">
        <x:v>Không</x:v>
      </x:c>
      <x:c r="G100" t="n">
        <x:v>122</x:v>
      </x:c>
    </x:row>
    <x:row r="101">
      <x:c r="A101" t="str">
        <x:v>VD0100</x:v>
      </x:c>
      <x:c r="B101" t="str">
        <x:v>R05</x:v>
      </x:c>
      <x:c r="C101" t="str">
        <x:f>TRIM(B101)</x:f>
        <x:v>R05</x:v>
      </x:c>
      <x:c r="D101" t="str">
        <x:v>Khách hàng 100</x:v>
      </x:c>
      <x:c r="E101" s="12" t="n">
        <x:f>IFERROR(VLOOKUP(C101,BangGia!$A$2:$D$7,4,FALSE),"Chưa có giá")</x:f>
        <x:v>30000</x:v>
      </x:c>
      <x:c r="F101" t="str">
        <x:v>Có</x:v>
      </x:c>
      <x:c r="G101" t="n">
        <x:v>135</x:v>
      </x:c>
    </x:row>
    <x:row r="102">
      <x:c r="A102" t="str">
        <x:v>VD0101</x:v>
      </x:c>
      <x:c r="B102" t="str">
        <x:v>R06</x:v>
      </x:c>
      <x:c r="C102" t="str">
        <x:f>TRIM(B102)</x:f>
        <x:v>R06</x:v>
      </x:c>
      <x:c r="D102" t="str">
        <x:v>Khách hàng 101</x:v>
      </x:c>
      <x:c r="E102" s="12" t="n">
        <x:f>IFERROR(VLOOKUP(C102,BangGia!$A$2:$D$7,4,FALSE),"Chưa có giá")</x:f>
        <x:v>42000</x:v>
      </x:c>
      <x:c r="F102" t="str">
        <x:v>Có</x:v>
      </x:c>
      <x:c r="G102" t="n">
        <x:v>148</x:v>
      </x:c>
    </x:row>
    <x:row r="103">
      <x:c r="A103" t="str">
        <x:v>VD0102</x:v>
      </x:c>
      <x:c r="B103" t="str">
        <x:v>R01</x:v>
      </x:c>
      <x:c r="C103" t="str">
        <x:f>TRIM(B103)</x:f>
        <x:v>R01</x:v>
      </x:c>
      <x:c r="D103" t="str">
        <x:v>Khách hàng 102</x:v>
      </x:c>
      <x:c r="E103" s="12" t="n">
        <x:f>IFERROR(VLOOKUP(C103,BangGia!$A$2:$D$7,4,FALSE),"Chưa có giá")</x:f>
        <x:v>22000</x:v>
      </x:c>
      <x:c r="F103" t="str">
        <x:v>Có</x:v>
      </x:c>
      <x:c r="G103" t="n">
        <x:v>161</x:v>
      </x:c>
    </x:row>
    <x:row r="104">
      <x:c r="A104" t="str">
        <x:v>VD0103</x:v>
      </x:c>
      <x:c r="B104" t="str">
        <x:v>R02</x:v>
      </x:c>
      <x:c r="C104" t="str">
        <x:f>TRIM(B104)</x:f>
        <x:v>R02</x:v>
      </x:c>
      <x:c r="D104" t="str">
        <x:v>Khách hàng 103</x:v>
      </x:c>
      <x:c r="E104" s="12" t="n">
        <x:f>IFERROR(VLOOKUP(C104,BangGia!$A$2:$D$7,4,FALSE),"Chưa có giá")</x:f>
        <x:v>45000</x:v>
      </x:c>
      <x:c r="F104" t="str">
        <x:v>Có</x:v>
      </x:c>
      <x:c r="G104" t="n">
        <x:v>174</x:v>
      </x:c>
    </x:row>
    <x:row r="105">
      <x:c r="A105" t="str">
        <x:v>VD0104</x:v>
      </x:c>
      <x:c r="B105" t="str">
        <x:v>R03</x:v>
      </x:c>
      <x:c r="C105" t="str">
        <x:f>TRIM(B105)</x:f>
        <x:v>R03</x:v>
      </x:c>
      <x:c r="D105" t="str">
        <x:v>Khách hàng 104</x:v>
      </x:c>
      <x:c r="E105" s="12" t="n">
        <x:f>IFERROR(VLOOKUP(C105,BangGia!$A$2:$D$7,4,FALSE),"Chưa có giá")</x:f>
        <x:v>38000</x:v>
      </x:c>
      <x:c r="F105" t="str">
        <x:v>Có</x:v>
      </x:c>
      <x:c r="G105" t="n">
        <x:v>37</x:v>
      </x:c>
    </x:row>
    <x:row r="106">
      <x:c r="A106" t="str">
        <x:v>VD0105</x:v>
      </x:c>
      <x:c r="B106" t="str">
        <x:v>R04</x:v>
      </x:c>
      <x:c r="C106" t="str">
        <x:f>TRIM(B106)</x:f>
        <x:v>R04</x:v>
      </x:c>
      <x:c r="D106" t="str">
        <x:v>Khách hàng 105</x:v>
      </x:c>
      <x:c r="E106" s="12" t="n">
        <x:f>IFERROR(VLOOKUP(C106,BangGia!$A$2:$D$7,4,FALSE),"Chưa có giá")</x:f>
        <x:v>52000</x:v>
      </x:c>
      <x:c r="F106" t="str">
        <x:v>Có</x:v>
      </x:c>
      <x:c r="G106" t="n">
        <x:v>50</x:v>
      </x:c>
    </x:row>
    <x:row r="107">
      <x:c r="A107" t="str">
        <x:v>VD0106</x:v>
      </x:c>
      <x:c r="B107" t="str">
        <x:v>R05</x:v>
      </x:c>
      <x:c r="C107" t="str">
        <x:f>TRIM(B107)</x:f>
        <x:v>R05</x:v>
      </x:c>
      <x:c r="D107" t="str">
        <x:v>Khách hàng 106</x:v>
      </x:c>
      <x:c r="E107" s="12" t="n">
        <x:f>IFERROR(VLOOKUP(C107,BangGia!$A$2:$D$7,4,FALSE),"Chưa có giá")</x:f>
        <x:v>30000</x:v>
      </x:c>
      <x:c r="F107" t="str">
        <x:v>Có</x:v>
      </x:c>
      <x:c r="G107" t="n">
        <x:v>63</x:v>
      </x:c>
    </x:row>
    <x:row r="108">
      <x:c r="A108" t="str">
        <x:v>VD0107</x:v>
      </x:c>
      <x:c r="B108" t="str">
        <x:v>R06</x:v>
      </x:c>
      <x:c r="C108" t="str">
        <x:f>TRIM(B108)</x:f>
        <x:v>R06</x:v>
      </x:c>
      <x:c r="D108" t="str">
        <x:v>Khách hàng 107</x:v>
      </x:c>
      <x:c r="E108" s="12" t="n">
        <x:f>IFERROR(VLOOKUP(C108,BangGia!$A$2:$D$7,4,FALSE),"Chưa có giá")</x:f>
        <x:v>42000</x:v>
      </x:c>
      <x:c r="F108" t="str">
        <x:v>Có</x:v>
      </x:c>
      <x:c r="G108" t="n">
        <x:v>76</x:v>
      </x:c>
    </x:row>
    <x:row r="109">
      <x:c r="A109" t="str">
        <x:v>VD0108</x:v>
      </x:c>
      <x:c r="B109" t="str">
        <x:v>R01</x:v>
      </x:c>
      <x:c r="C109" t="str">
        <x:f>TRIM(B109)</x:f>
        <x:v>R01</x:v>
      </x:c>
      <x:c r="D109" t="str">
        <x:v>Khách hàng 108</x:v>
      </x:c>
      <x:c r="E109" s="12" t="n">
        <x:f>IFERROR(VLOOKUP(C109,BangGia!$A$2:$D$7,4,FALSE),"Chưa có giá")</x:f>
        <x:v>22000</x:v>
      </x:c>
      <x:c r="F109" t="str">
        <x:v>Không</x:v>
      </x:c>
      <x:c r="G109" t="n">
        <x:v>89</x:v>
      </x:c>
    </x:row>
    <x:row r="110">
      <x:c r="A110" t="str">
        <x:v>VD0109</x:v>
      </x:c>
      <x:c r="B110" t="str">
        <x:v>R02</x:v>
      </x:c>
      <x:c r="C110" t="str">
        <x:f>TRIM(B110)</x:f>
        <x:v>R02</x:v>
      </x:c>
      <x:c r="D110" t="str">
        <x:v>Khách hàng 109</x:v>
      </x:c>
      <x:c r="E110" s="12" t="n">
        <x:f>IFERROR(VLOOKUP(C110,BangGia!$A$2:$D$7,4,FALSE),"Chưa có giá")</x:f>
        <x:v>45000</x:v>
      </x:c>
      <x:c r="F110" t="str">
        <x:v>Có</x:v>
      </x:c>
      <x:c r="G110" t="n">
        <x:v>102</x:v>
      </x:c>
    </x:row>
    <x:row r="111">
      <x:c r="A111" t="str">
        <x:v>VD0110</x:v>
      </x:c>
      <x:c r="B111" t="str">
        <x:v>R03</x:v>
      </x:c>
      <x:c r="C111" t="str">
        <x:f>TRIM(B111)</x:f>
        <x:v>R03</x:v>
      </x:c>
      <x:c r="D111" t="str">
        <x:v>Khách hàng 110</x:v>
      </x:c>
      <x:c r="E111" s="12" t="n">
        <x:f>IFERROR(VLOOKUP(C111,BangGia!$A$2:$D$7,4,FALSE),"Chưa có giá")</x:f>
        <x:v>38000</x:v>
      </x:c>
      <x:c r="F111" t="str">
        <x:v>Có</x:v>
      </x:c>
      <x:c r="G111" t="n">
        <x:v>115</x:v>
      </x:c>
    </x:row>
    <x:row r="112">
      <x:c r="A112" t="str">
        <x:v>VD0111</x:v>
      </x:c>
      <x:c r="B112" t="str">
        <x:v>R04</x:v>
      </x:c>
      <x:c r="C112" t="str">
        <x:f>TRIM(B112)</x:f>
        <x:v>R04</x:v>
      </x:c>
      <x:c r="D112" t="str">
        <x:v>Khách hàng 111</x:v>
      </x:c>
      <x:c r="E112" s="12" t="n">
        <x:f>IFERROR(VLOOKUP(C112,BangGia!$A$2:$D$7,4,FALSE),"Chưa có giá")</x:f>
        <x:v>52000</x:v>
      </x:c>
      <x:c r="F112" t="str">
        <x:v>Có</x:v>
      </x:c>
      <x:c r="G112" t="n">
        <x:v>128</x:v>
      </x:c>
    </x:row>
    <x:row r="113">
      <x:c r="A113" t="str">
        <x:v>VD0112</x:v>
      </x:c>
      <x:c r="B113" t="str">
        <x:v>R05</x:v>
      </x:c>
      <x:c r="C113" t="str">
        <x:f>TRIM(B113)</x:f>
        <x:v>R05</x:v>
      </x:c>
      <x:c r="D113" t="str">
        <x:v>Khách hàng 112</x:v>
      </x:c>
      <x:c r="E113" s="12" t="n">
        <x:f>IFERROR(VLOOKUP(C113,BangGia!$A$2:$D$7,4,FALSE),"Chưa có giá")</x:f>
        <x:v>30000</x:v>
      </x:c>
      <x:c r="F113" t="str">
        <x:v>Có</x:v>
      </x:c>
      <x:c r="G113" t="n">
        <x:v>141</x:v>
      </x:c>
    </x:row>
    <x:row r="114">
      <x:c r="A114" t="str">
        <x:v>VD0113</x:v>
      </x:c>
      <x:c r="B114" t="str">
        <x:v>R06</x:v>
      </x:c>
      <x:c r="C114" t="str">
        <x:f>TRIM(B114)</x:f>
        <x:v>R06</x:v>
      </x:c>
      <x:c r="D114" t="str">
        <x:v>Khách hàng 113</x:v>
      </x:c>
      <x:c r="E114" s="12" t="n">
        <x:f>IFERROR(VLOOKUP(C114,BangGia!$A$2:$D$7,4,FALSE),"Chưa có giá")</x:f>
        <x:v>42000</x:v>
      </x:c>
      <x:c r="F114" t="str">
        <x:v>Có</x:v>
      </x:c>
      <x:c r="G114" t="n">
        <x:v>154</x:v>
      </x:c>
    </x:row>
    <x:row r="115">
      <x:c r="A115" t="str">
        <x:v>VD0114</x:v>
      </x:c>
      <x:c r="B115" t="str">
        <x:v>R01</x:v>
      </x:c>
      <x:c r="C115" t="str">
        <x:f>TRIM(B115)</x:f>
        <x:v>R01</x:v>
      </x:c>
      <x:c r="D115" t="str">
        <x:v>Khách hàng 114</x:v>
      </x:c>
      <x:c r="E115" s="12" t="n">
        <x:f>IFERROR(VLOOKUP(C115,BangGia!$A$2:$D$7,4,FALSE),"Chưa có giá")</x:f>
        <x:v>22000</x:v>
      </x:c>
      <x:c r="F115" t="str">
        <x:v>Có</x:v>
      </x:c>
      <x:c r="G115" t="n">
        <x:v>167</x:v>
      </x:c>
    </x:row>
    <x:row r="116">
      <x:c r="A116" t="str">
        <x:v>VD0115</x:v>
      </x:c>
      <x:c r="B116" t="str">
        <x:v>R02</x:v>
      </x:c>
      <x:c r="C116" t="str">
        <x:f>TRIM(B116)</x:f>
        <x:v>R02</x:v>
      </x:c>
      <x:c r="D116" t="str">
        <x:v>Khách hàng 115</x:v>
      </x:c>
      <x:c r="E116" s="12" t="n">
        <x:f>IFERROR(VLOOKUP(C116,BangGia!$A$2:$D$7,4,FALSE),"Chưa có giá")</x:f>
        <x:v>45000</x:v>
      </x:c>
      <x:c r="F116" t="str">
        <x:v>Có</x:v>
      </x:c>
      <x:c r="G116" t="n">
        <x:v>180</x:v>
      </x:c>
    </x:row>
    <x:row r="117">
      <x:c r="A117" t="str">
        <x:v>VD0116</x:v>
      </x:c>
      <x:c r="B117" t="str">
        <x:v>R03</x:v>
      </x:c>
      <x:c r="C117" t="str">
        <x:f>TRIM(B117)</x:f>
        <x:v>R03</x:v>
      </x:c>
      <x:c r="D117" t="str">
        <x:v>Khách hàng 116</x:v>
      </x:c>
      <x:c r="E117" s="12" t="n">
        <x:f>IFERROR(VLOOKUP(C117,BangGia!$A$2:$D$7,4,FALSE),"Chưa có giá")</x:f>
        <x:v>38000</x:v>
      </x:c>
      <x:c r="F117" t="str">
        <x:v>Có</x:v>
      </x:c>
      <x:c r="G117" t="n">
        <x:v>43</x:v>
      </x:c>
    </x:row>
    <x:row r="118">
      <x:c r="A118" t="str">
        <x:v>VD0117</x:v>
      </x:c>
      <x:c r="B118" t="str">
        <x:v>R04</x:v>
      </x:c>
      <x:c r="C118" t="str">
        <x:f>TRIM(B118)</x:f>
        <x:v>R04</x:v>
      </x:c>
      <x:c r="D118" t="str">
        <x:v>Khách hàng 117</x:v>
      </x:c>
      <x:c r="E118" s="12" t="n">
        <x:f>IFERROR(VLOOKUP(C118,BangGia!$A$2:$D$7,4,FALSE),"Chưa có giá")</x:f>
        <x:v>52000</x:v>
      </x:c>
      <x:c r="F118" t="str">
        <x:v>Không</x:v>
      </x:c>
      <x:c r="G118" t="n">
        <x:v>56</x:v>
      </x:c>
    </x:row>
    <x:row r="119">
      <x:c r="A119" t="str">
        <x:v>VD0118</x:v>
      </x:c>
      <x:c r="B119" t="str">
        <x:v>R05</x:v>
      </x:c>
      <x:c r="C119" t="str">
        <x:f>TRIM(B119)</x:f>
        <x:v>R05</x:v>
      </x:c>
      <x:c r="D119" t="str">
        <x:v>Khách hàng 118</x:v>
      </x:c>
      <x:c r="E119" s="12" t="n">
        <x:f>IFERROR(VLOOKUP(C119,BangGia!$A$2:$D$7,4,FALSE),"Chưa có giá")</x:f>
        <x:v>30000</x:v>
      </x:c>
      <x:c r="F119" t="str">
        <x:v>Có</x:v>
      </x:c>
      <x:c r="G119" t="n">
        <x:v>69</x:v>
      </x:c>
    </x:row>
    <x:row r="120">
      <x:c r="A120" t="str">
        <x:v>VD0119</x:v>
      </x:c>
      <x:c r="B120" t="str">
        <x:v>R06</x:v>
      </x:c>
      <x:c r="C120" t="str">
        <x:f>TRIM(B120)</x:f>
        <x:v>R06</x:v>
      </x:c>
      <x:c r="D120" t="str">
        <x:v>Khách hàng 119</x:v>
      </x:c>
      <x:c r="E120" s="12" t="n">
        <x:f>IFERROR(VLOOKUP(C120,BangGia!$A$2:$D$7,4,FALSE),"Chưa có giá")</x:f>
        <x:v>42000</x:v>
      </x:c>
      <x:c r="F120" t="str">
        <x:v>Có</x:v>
      </x:c>
      <x:c r="G120" t="n">
        <x:v>82</x:v>
      </x:c>
    </x:row>
    <x:row r="121">
      <x:c r="A121" t="str">
        <x:v>VD0120</x:v>
      </x:c>
      <x:c r="B121" t="str">
        <x:v>R01</x:v>
      </x:c>
      <x:c r="C121" t="str">
        <x:f>TRIM(B121)</x:f>
        <x:v>R01</x:v>
      </x:c>
      <x:c r="D121" t="str">
        <x:v>Khách hàng 120</x:v>
      </x:c>
      <x:c r="E121" s="12" t="n">
        <x:f>IFERROR(VLOOKUP(C121,BangGia!$A$2:$D$7,4,FALSE),"Chưa có giá")</x:f>
        <x:v>22000</x:v>
      </x:c>
      <x:c r="F121" t="str">
        <x:v>Có</x:v>
      </x:c>
      <x:c r="G121" t="n">
        <x:v>95</x:v>
      </x:c>
    </x:row>
    <x:row r="122">
      <x:c r="A122" t="str">
        <x:v>VD0121</x:v>
      </x:c>
      <x:c r="B122" t="str">
        <x:v>R02</x:v>
      </x:c>
      <x:c r="C122" t="str">
        <x:f>TRIM(B122)</x:f>
        <x:v>R02</x:v>
      </x:c>
      <x:c r="D122" t="str">
        <x:v>Khách hàng 121</x:v>
      </x:c>
      <x:c r="E122" s="12" t="n">
        <x:f>IFERROR(VLOOKUP(C122,BangGia!$A$2:$D$7,4,FALSE),"Chưa có giá")</x:f>
        <x:v>45000</x:v>
      </x:c>
      <x:c r="F122" t="str">
        <x:v>Có</x:v>
      </x:c>
      <x:c r="G122" t="n">
        <x:v>108</x:v>
      </x:c>
    </x:row>
    <x:row r="123">
      <x:c r="A123" t="str">
        <x:v>VD0122</x:v>
      </x:c>
      <x:c r="B123" t="str">
        <x:v>R03</x:v>
      </x:c>
      <x:c r="C123" t="str">
        <x:f>TRIM(B123)</x:f>
        <x:v>R03</x:v>
      </x:c>
      <x:c r="D123" t="str">
        <x:v>Khách hàng 122</x:v>
      </x:c>
      <x:c r="E123" s="12" t="n">
        <x:f>IFERROR(VLOOKUP(C123,BangGia!$A$2:$D$7,4,FALSE),"Chưa có giá")</x:f>
        <x:v>38000</x:v>
      </x:c>
      <x:c r="F123" t="str">
        <x:v>Có</x:v>
      </x:c>
      <x:c r="G123" t="n">
        <x:v>121</x:v>
      </x:c>
    </x:row>
    <x:row r="124">
      <x:c r="A124" t="str">
        <x:v>VD0123</x:v>
      </x:c>
      <x:c r="B124" t="str">
        <x:v>R04 </x:v>
      </x:c>
      <x:c r="C124" t="str">
        <x:f>TRIM(B124)</x:f>
        <x:v>R04</x:v>
      </x:c>
      <x:c r="D124" t="str">
        <x:v>Khách hàng 123</x:v>
      </x:c>
      <x:c r="E124" s="12" t="n">
        <x:f>IFERROR(VLOOKUP(C124,BangGia!$A$2:$D$7,4,FALSE),"Chưa có giá")</x:f>
        <x:v>52000</x:v>
      </x:c>
      <x:c r="F124" t="str">
        <x:v>Có</x:v>
      </x:c>
      <x:c r="G124" t="n">
        <x:v>134</x:v>
      </x:c>
    </x:row>
    <x:row r="125">
      <x:c r="A125" t="str">
        <x:v>VD0124</x:v>
      </x:c>
      <x:c r="B125" t="str">
        <x:v>R05</x:v>
      </x:c>
      <x:c r="C125" t="str">
        <x:f>TRIM(B125)</x:f>
        <x:v>R05</x:v>
      </x:c>
      <x:c r="D125" t="str">
        <x:v>Khách hàng 124</x:v>
      </x:c>
      <x:c r="E125" s="12" t="n">
        <x:f>IFERROR(VLOOKUP(C125,BangGia!$A$2:$D$7,4,FALSE),"Chưa có giá")</x:f>
        <x:v>30000</x:v>
      </x:c>
      <x:c r="F125" t="str">
        <x:v>Có</x:v>
      </x:c>
      <x:c r="G125" t="n">
        <x:v>147</x:v>
      </x:c>
    </x:row>
    <x:row r="126">
      <x:c r="A126" t="str">
        <x:v>VD0125</x:v>
      </x:c>
      <x:c r="B126" t="str">
        <x:v>R06</x:v>
      </x:c>
      <x:c r="C126" t="str">
        <x:f>TRIM(B126)</x:f>
        <x:v>R06</x:v>
      </x:c>
      <x:c r="D126" t="str">
        <x:v>Khách hàng 125</x:v>
      </x:c>
      <x:c r="E126" s="12" t="n">
        <x:f>IFERROR(VLOOKUP(C126,BangGia!$A$2:$D$7,4,FALSE),"Chưa có giá")</x:f>
        <x:v>42000</x:v>
      </x:c>
      <x:c r="F126" t="str">
        <x:v>Có</x:v>
      </x:c>
      <x:c r="G126" t="n">
        <x:v>160</x:v>
      </x:c>
    </x:row>
    <x:row r="127">
      <x:c r="A127" t="str">
        <x:v>VD0126</x:v>
      </x:c>
      <x:c r="B127" t="str">
        <x:v>R01</x:v>
      </x:c>
      <x:c r="C127" t="str">
        <x:f>TRIM(B127)</x:f>
        <x:v>R01</x:v>
      </x:c>
      <x:c r="D127" t="str">
        <x:v>Khách hàng 126</x:v>
      </x:c>
      <x:c r="E127" s="12" t="n">
        <x:f>IFERROR(VLOOKUP(C127,BangGia!$A$2:$D$7,4,FALSE),"Chưa có giá")</x:f>
        <x:v>22000</x:v>
      </x:c>
      <x:c r="F127" t="str">
        <x:v>Không</x:v>
      </x:c>
      <x:c r="G127" t="n">
        <x:v>173</x:v>
      </x:c>
    </x:row>
    <x:row r="128">
      <x:c r="A128" t="str">
        <x:v>VD0127</x:v>
      </x:c>
      <x:c r="B128" t="str">
        <x:v>R02</x:v>
      </x:c>
      <x:c r="C128" t="str">
        <x:f>TRIM(B128)</x:f>
        <x:v>R02</x:v>
      </x:c>
      <x:c r="D128" t="str">
        <x:v>Khách hàng 127</x:v>
      </x:c>
      <x:c r="E128" s="12" t="n">
        <x:f>IFERROR(VLOOKUP(C128,BangGia!$A$2:$D$7,4,FALSE),"Chưa có giá")</x:f>
        <x:v>45000</x:v>
      </x:c>
      <x:c r="F128" t="str">
        <x:v>Có</x:v>
      </x:c>
      <x:c r="G128" t="n">
        <x:v>36</x:v>
      </x:c>
    </x:row>
    <x:row r="129">
      <x:c r="A129" t="str">
        <x:v>VD0128</x:v>
      </x:c>
      <x:c r="B129" t="str">
        <x:v>R03</x:v>
      </x:c>
      <x:c r="C129" t="str">
        <x:f>TRIM(B129)</x:f>
        <x:v>R03</x:v>
      </x:c>
      <x:c r="D129" t="str">
        <x:v>Khách hàng 128</x:v>
      </x:c>
      <x:c r="E129" s="12" t="n">
        <x:f>IFERROR(VLOOKUP(C129,BangGia!$A$2:$D$7,4,FALSE),"Chưa có giá")</x:f>
        <x:v>38000</x:v>
      </x:c>
      <x:c r="F129" t="str">
        <x:v>Có</x:v>
      </x:c>
      <x:c r="G129" t="n">
        <x:v>49</x:v>
      </x:c>
    </x:row>
    <x:row r="130">
      <x:c r="A130" t="str">
        <x:v>VD0129</x:v>
      </x:c>
      <x:c r="B130" t="str">
        <x:v>R04</x:v>
      </x:c>
      <x:c r="C130" t="str">
        <x:f>TRIM(B130)</x:f>
        <x:v>R04</x:v>
      </x:c>
      <x:c r="D130" t="str">
        <x:v>Khách hàng 129</x:v>
      </x:c>
      <x:c r="E130" s="12" t="n">
        <x:f>IFERROR(VLOOKUP(C130,BangGia!$A$2:$D$7,4,FALSE),"Chưa có giá")</x:f>
        <x:v>52000</x:v>
      </x:c>
      <x:c r="F130" t="str">
        <x:v>Có</x:v>
      </x:c>
      <x:c r="G130" t="n">
        <x:v>62</x:v>
      </x:c>
    </x:row>
    <x:row r="131">
      <x:c r="A131" t="str">
        <x:v>VD0130</x:v>
      </x:c>
      <x:c r="B131" t="str">
        <x:v>R05</x:v>
      </x:c>
      <x:c r="C131" t="str">
        <x:f>TRIM(B131)</x:f>
        <x:v>R05</x:v>
      </x:c>
      <x:c r="D131" t="str">
        <x:v>Khách hàng 130</x:v>
      </x:c>
      <x:c r="E131" s="12" t="n">
        <x:f>IFERROR(VLOOKUP(C131,BangGia!$A$2:$D$7,4,FALSE),"Chưa có giá")</x:f>
        <x:v>30000</x:v>
      </x:c>
      <x:c r="F131" t="str">
        <x:v>Có</x:v>
      </x:c>
      <x:c r="G131" t="n">
        <x:v>75</x:v>
      </x:c>
    </x:row>
    <x:row r="132">
      <x:c r="A132" t="str">
        <x:v>VD0131</x:v>
      </x:c>
      <x:c r="B132" t="str">
        <x:v>R06</x:v>
      </x:c>
      <x:c r="C132" t="str">
        <x:f>TRIM(B132)</x:f>
        <x:v>R06</x:v>
      </x:c>
      <x:c r="D132" t="str">
        <x:v>Khách hàng 131</x:v>
      </x:c>
      <x:c r="E132" s="12" t="n">
        <x:f>IFERROR(VLOOKUP(C132,BangGia!$A$2:$D$7,4,FALSE),"Chưa có giá")</x:f>
        <x:v>42000</x:v>
      </x:c>
      <x:c r="F132" t="str">
        <x:v>Có</x:v>
      </x:c>
      <x:c r="G132" t="n">
        <x:v>88</x:v>
      </x:c>
    </x:row>
    <x:row r="133">
      <x:c r="A133" t="str">
        <x:v>VD0132</x:v>
      </x:c>
      <x:c r="B133" t="str">
        <x:v>R01</x:v>
      </x:c>
      <x:c r="C133" t="str">
        <x:f>TRIM(B133)</x:f>
        <x:v>R01</x:v>
      </x:c>
      <x:c r="D133" t="str">
        <x:v>Khách hàng 132</x:v>
      </x:c>
      <x:c r="E133" s="12" t="n">
        <x:f>IFERROR(VLOOKUP(C133,BangGia!$A$2:$D$7,4,FALSE),"Chưa có giá")</x:f>
        <x:v>22000</x:v>
      </x:c>
      <x:c r="F133" t="str">
        <x:v>Có</x:v>
      </x:c>
      <x:c r="G133" t="n">
        <x:v>101</x:v>
      </x:c>
    </x:row>
    <x:row r="134">
      <x:c r="A134" t="str">
        <x:v>VD0133</x:v>
      </x:c>
      <x:c r="B134" t="str">
        <x:v>R02</x:v>
      </x:c>
      <x:c r="C134" t="str">
        <x:f>TRIM(B134)</x:f>
        <x:v>R02</x:v>
      </x:c>
      <x:c r="D134" t="str">
        <x:v>Khách hàng 133</x:v>
      </x:c>
      <x:c r="E134" s="12" t="n">
        <x:f>IFERROR(VLOOKUP(C134,BangGia!$A$2:$D$7,4,FALSE),"Chưa có giá")</x:f>
        <x:v>45000</x:v>
      </x:c>
      <x:c r="F134" t="str">
        <x:v>Có</x:v>
      </x:c>
      <x:c r="G134" t="n">
        <x:v>114</x:v>
      </x:c>
    </x:row>
    <x:row r="135">
      <x:c r="A135" t="str">
        <x:v>VD0134</x:v>
      </x:c>
      <x:c r="B135" t="str">
        <x:v>R03</x:v>
      </x:c>
      <x:c r="C135" t="str">
        <x:f>TRIM(B135)</x:f>
        <x:v>R03</x:v>
      </x:c>
      <x:c r="D135" t="str">
        <x:v>Khách hàng 134</x:v>
      </x:c>
      <x:c r="E135" s="12" t="n">
        <x:f>IFERROR(VLOOKUP(C135,BangGia!$A$2:$D$7,4,FALSE),"Chưa có giá")</x:f>
        <x:v>38000</x:v>
      </x:c>
      <x:c r="F135" t="str">
        <x:v>Có</x:v>
      </x:c>
      <x:c r="G135" t="n">
        <x:v>127</x:v>
      </x:c>
    </x:row>
    <x:row r="136">
      <x:c r="A136" t="str">
        <x:v>VD0135</x:v>
      </x:c>
      <x:c r="B136" t="str">
        <x:v>R04</x:v>
      </x:c>
      <x:c r="C136" t="str">
        <x:f>TRIM(B136)</x:f>
        <x:v>R04</x:v>
      </x:c>
      <x:c r="D136" t="str">
        <x:v>Khách hàng 135</x:v>
      </x:c>
      <x:c r="E136" s="12" t="n">
        <x:f>IFERROR(VLOOKUP(C136,BangGia!$A$2:$D$7,4,FALSE),"Chưa có giá")</x:f>
        <x:v>52000</x:v>
      </x:c>
      <x:c r="F136" t="str">
        <x:v>Không</x:v>
      </x:c>
      <x:c r="G136" t="n">
        <x:v>140</x:v>
      </x:c>
    </x:row>
    <x:row r="137">
      <x:c r="A137" t="str">
        <x:v>VD0136</x:v>
      </x:c>
      <x:c r="B137" t="str">
        <x:v>R05</x:v>
      </x:c>
      <x:c r="C137" t="str">
        <x:f>TRIM(B137)</x:f>
        <x:v>R05</x:v>
      </x:c>
      <x:c r="D137" t="str">
        <x:v>Khách hàng 136</x:v>
      </x:c>
      <x:c r="E137" s="12" t="n">
        <x:f>IFERROR(VLOOKUP(C137,BangGia!$A$2:$D$7,4,FALSE),"Chưa có giá")</x:f>
        <x:v>30000</x:v>
      </x:c>
      <x:c r="F137" t="str">
        <x:v>Có</x:v>
      </x:c>
      <x:c r="G137" t="n">
        <x:v>153</x:v>
      </x:c>
    </x:row>
    <x:row r="138">
      <x:c r="A138" t="str">
        <x:v>VD0137</x:v>
      </x:c>
      <x:c r="B138" t="str">
        <x:v>R06</x:v>
      </x:c>
      <x:c r="C138" t="str">
        <x:f>TRIM(B138)</x:f>
        <x:v>R06</x:v>
      </x:c>
      <x:c r="D138" t="str">
        <x:v>Khách hàng 137</x:v>
      </x:c>
      <x:c r="E138" s="12" t="n">
        <x:f>IFERROR(VLOOKUP(C138,BangGia!$A$2:$D$7,4,FALSE),"Chưa có giá")</x:f>
        <x:v>42000</x:v>
      </x:c>
      <x:c r="F138" t="str">
        <x:v>Có</x:v>
      </x:c>
      <x:c r="G138" t="n">
        <x:v>166</x:v>
      </x:c>
    </x:row>
    <x:row r="139">
      <x:c r="A139" t="str">
        <x:v>VD0138</x:v>
      </x:c>
      <x:c r="B139" t="str">
        <x:v>R01</x:v>
      </x:c>
      <x:c r="C139" t="str">
        <x:f>TRIM(B139)</x:f>
        <x:v>R01</x:v>
      </x:c>
      <x:c r="D139" t="str">
        <x:v>Khách hàng 138</x:v>
      </x:c>
      <x:c r="E139" s="12" t="n">
        <x:f>IFERROR(VLOOKUP(C139,BangGia!$A$2:$D$7,4,FALSE),"Chưa có giá")</x:f>
        <x:v>22000</x:v>
      </x:c>
      <x:c r="F139" t="str">
        <x:v>Có</x:v>
      </x:c>
      <x:c r="G139" t="n">
        <x:v>179</x:v>
      </x:c>
    </x:row>
    <x:row r="140">
      <x:c r="A140" t="str">
        <x:v>VD0139</x:v>
      </x:c>
      <x:c r="B140" t="str">
        <x:v>R02</x:v>
      </x:c>
      <x:c r="C140" t="str">
        <x:f>TRIM(B140)</x:f>
        <x:v>R02</x:v>
      </x:c>
      <x:c r="D140" t="str">
        <x:v>Khách hàng 139</x:v>
      </x:c>
      <x:c r="E140" s="12" t="n">
        <x:f>IFERROR(VLOOKUP(C140,BangGia!$A$2:$D$7,4,FALSE),"Chưa có giá")</x:f>
        <x:v>45000</x:v>
      </x:c>
      <x:c r="F140" t="str">
        <x:v>Có</x:v>
      </x:c>
      <x:c r="G140" t="n">
        <x:v>42</x:v>
      </x:c>
    </x:row>
    <x:row r="141">
      <x:c r="A141" t="str">
        <x:v>VD0140</x:v>
      </x:c>
      <x:c r="B141" t="str">
        <x:v>R03</x:v>
      </x:c>
      <x:c r="C141" t="str">
        <x:f>TRIM(B141)</x:f>
        <x:v>R03</x:v>
      </x:c>
      <x:c r="D141" t="str">
        <x:v>Khách hàng 140</x:v>
      </x:c>
      <x:c r="E141" s="12" t="n">
        <x:f>IFERROR(VLOOKUP(C141,BangGia!$A$2:$D$7,4,FALSE),"Chưa có giá")</x:f>
        <x:v>38000</x:v>
      </x:c>
      <x:c r="F141" t="str">
        <x:v>Có</x:v>
      </x:c>
      <x:c r="G141" t="n">
        <x:v>55</x:v>
      </x:c>
    </x:row>
    <x:row r="142">
      <x:c r="A142" t="str">
        <x:v>VD0141</x:v>
      </x:c>
      <x:c r="B142" t="str">
        <x:v>R04</x:v>
      </x:c>
      <x:c r="C142" t="str">
        <x:f>TRIM(B142)</x:f>
        <x:v>R04</x:v>
      </x:c>
      <x:c r="D142" t="str">
        <x:v>Khách hàng 141</x:v>
      </x:c>
      <x:c r="E142" s="12" t="n">
        <x:f>IFERROR(VLOOKUP(C142,BangGia!$A$2:$D$7,4,FALSE),"Chưa có giá")</x:f>
        <x:v>52000</x:v>
      </x:c>
      <x:c r="F142" t="str">
        <x:v>Có</x:v>
      </x:c>
      <x:c r="G142" t="n">
        <x:v>68</x:v>
      </x:c>
    </x:row>
    <x:row r="143">
      <x:c r="A143" t="str">
        <x:v>VD0142</x:v>
      </x:c>
      <x:c r="B143" t="str">
        <x:v>R05</x:v>
      </x:c>
      <x:c r="C143" t="str">
        <x:f>TRIM(B143)</x:f>
        <x:v>R05</x:v>
      </x:c>
      <x:c r="D143" t="str">
        <x:v>Khách hàng 142</x:v>
      </x:c>
      <x:c r="E143" s="12" t="n">
        <x:f>IFERROR(VLOOKUP(C143,BangGia!$A$2:$D$7,4,FALSE),"Chưa có giá")</x:f>
        <x:v>30000</x:v>
      </x:c>
      <x:c r="F143" t="str">
        <x:v>Có</x:v>
      </x:c>
      <x:c r="G143" t="n">
        <x:v>81</x:v>
      </x:c>
    </x:row>
    <x:row r="144">
      <x:c r="A144" t="str">
        <x:v>VD0143</x:v>
      </x:c>
      <x:c r="B144" t="str">
        <x:v>R06</x:v>
      </x:c>
      <x:c r="C144" t="str">
        <x:f>TRIM(B144)</x:f>
        <x:v>R06</x:v>
      </x:c>
      <x:c r="D144" t="str">
        <x:v>Khách hàng 143</x:v>
      </x:c>
      <x:c r="E144" s="12" t="n">
        <x:f>IFERROR(VLOOKUP(C144,BangGia!$A$2:$D$7,4,FALSE),"Chưa có giá")</x:f>
        <x:v>42000</x:v>
      </x:c>
      <x:c r="F144" t="str">
        <x:v>Có</x:v>
      </x:c>
      <x:c r="G144" t="n">
        <x:v>94</x:v>
      </x:c>
    </x:row>
    <x:row r="145">
      <x:c r="A145" t="str">
        <x:v>VD0144</x:v>
      </x:c>
      <x:c r="B145" t="str">
        <x:v>R01</x:v>
      </x:c>
      <x:c r="C145" t="str">
        <x:f>TRIM(B145)</x:f>
        <x:v>R01</x:v>
      </x:c>
      <x:c r="D145" t="str">
        <x:v>Khách hàng 144</x:v>
      </x:c>
      <x:c r="E145" s="12" t="n">
        <x:f>IFERROR(VLOOKUP(C145,BangGia!$A$2:$D$7,4,FALSE),"Chưa có giá")</x:f>
        <x:v>22000</x:v>
      </x:c>
      <x:c r="F145" t="str">
        <x:v>Không</x:v>
      </x:c>
      <x:c r="G145" t="n">
        <x:v>107</x:v>
      </x:c>
    </x:row>
    <x:row r="146">
      <x:c r="A146" t="str">
        <x:v>VD0145</x:v>
      </x:c>
      <x:c r="B146" t="str">
        <x:v>R02</x:v>
      </x:c>
      <x:c r="C146" t="str">
        <x:f>TRIM(B146)</x:f>
        <x:v>R02</x:v>
      </x:c>
      <x:c r="D146" t="str">
        <x:v>Khách hàng 145</x:v>
      </x:c>
      <x:c r="E146" s="12" t="n">
        <x:f>IFERROR(VLOOKUP(C146,BangGia!$A$2:$D$7,4,FALSE),"Chưa có giá")</x:f>
        <x:v>45000</x:v>
      </x:c>
      <x:c r="F146" t="str">
        <x:v>Có</x:v>
      </x:c>
      <x:c r="G146" t="n">
        <x:v>120</x:v>
      </x:c>
    </x:row>
    <x:row r="147">
      <x:c r="A147" t="str">
        <x:v>VD0146</x:v>
      </x:c>
      <x:c r="B147" t="str">
        <x:v>R03</x:v>
      </x:c>
      <x:c r="C147" t="str">
        <x:f>TRIM(B147)</x:f>
        <x:v>R03</x:v>
      </x:c>
      <x:c r="D147" t="str">
        <x:v>Khách hàng 146</x:v>
      </x:c>
      <x:c r="E147" s="12" t="n">
        <x:f>IFERROR(VLOOKUP(C147,BangGia!$A$2:$D$7,4,FALSE),"Chưa có giá")</x:f>
        <x:v>38000</x:v>
      </x:c>
      <x:c r="F147" t="str">
        <x:v>Có</x:v>
      </x:c>
      <x:c r="G147" t="n">
        <x:v>133</x:v>
      </x:c>
    </x:row>
    <x:row r="148">
      <x:c r="A148" t="str">
        <x:v>VD0147</x:v>
      </x:c>
      <x:c r="B148" t="str">
        <x:v>R04</x:v>
      </x:c>
      <x:c r="C148" t="str">
        <x:f>TRIM(B148)</x:f>
        <x:v>R04</x:v>
      </x:c>
      <x:c r="D148" t="str">
        <x:v>Khách hàng 147</x:v>
      </x:c>
      <x:c r="E148" s="12" t="n">
        <x:f>IFERROR(VLOOKUP(C148,BangGia!$A$2:$D$7,4,FALSE),"Chưa có giá")</x:f>
        <x:v>52000</x:v>
      </x:c>
      <x:c r="F148" t="str">
        <x:v>Có</x:v>
      </x:c>
      <x:c r="G148" t="n">
        <x:v>146</x:v>
      </x:c>
    </x:row>
    <x:row r="149">
      <x:c r="A149" t="str">
        <x:v>VD0148</x:v>
      </x:c>
      <x:c r="B149" t="str">
        <x:v>R05</x:v>
      </x:c>
      <x:c r="C149" t="str">
        <x:f>TRIM(B149)</x:f>
        <x:v>R05</x:v>
      </x:c>
      <x:c r="D149" t="str">
        <x:v>Khách hàng 148</x:v>
      </x:c>
      <x:c r="E149" s="12" t="n">
        <x:f>IFERROR(VLOOKUP(C149,BangGia!$A$2:$D$7,4,FALSE),"Chưa có giá")</x:f>
        <x:v>30000</x:v>
      </x:c>
      <x:c r="F149" t="str">
        <x:v>Có</x:v>
      </x:c>
      <x:c r="G149" t="n">
        <x:v>159</x:v>
      </x:c>
    </x:row>
    <x:row r="150">
      <x:c r="A150" t="str">
        <x:v>VD0149</x:v>
      </x:c>
      <x:c r="B150" t="str">
        <x:v>R06</x:v>
      </x:c>
      <x:c r="C150" t="str">
        <x:f>TRIM(B150)</x:f>
        <x:v>R06</x:v>
      </x:c>
      <x:c r="D150" t="str">
        <x:v>Khách hàng 149</x:v>
      </x:c>
      <x:c r="E150" s="12" t="n">
        <x:f>IFERROR(VLOOKUP(C150,BangGia!$A$2:$D$7,4,FALSE),"Chưa có giá")</x:f>
        <x:v>42000</x:v>
      </x:c>
      <x:c r="F150" t="str">
        <x:v>Có</x:v>
      </x:c>
      <x:c r="G150" t="n">
        <x:v>172</x:v>
      </x:c>
    </x:row>
    <x:row r="151">
      <x:c r="A151" t="str">
        <x:v>VD0150</x:v>
      </x:c>
      <x:c r="B151" t="str">
        <x:v>R01</x:v>
      </x:c>
      <x:c r="C151" t="str">
        <x:f>TRIM(B151)</x:f>
        <x:v>R01</x:v>
      </x:c>
      <x:c r="D151" t="str">
        <x:v>Khách hàng 150</x:v>
      </x:c>
      <x:c r="E151" s="12" t="n">
        <x:f>IFERROR(VLOOKUP(C151,BangGia!$A$2:$D$7,4,FALSE),"Chưa có giá")</x:f>
        <x:v>22000</x:v>
      </x:c>
      <x:c r="F151" t="str">
        <x:v>Có</x:v>
      </x:c>
      <x:c r="G151" t="n">
        <x:v>35</x:v>
      </x:c>
    </x:row>
    <x:row r="152">
      <x:c r="A152" t="str">
        <x:v>VD0151</x:v>
      </x:c>
      <x:c r="B152" t="str">
        <x:v>R02</x:v>
      </x:c>
      <x:c r="C152" t="str">
        <x:f>TRIM(B152)</x:f>
        <x:v>R02</x:v>
      </x:c>
      <x:c r="D152" t="str">
        <x:v>Khách hàng 151</x:v>
      </x:c>
      <x:c r="E152" s="12" t="n">
        <x:f>IFERROR(VLOOKUP(C152,BangGia!$A$2:$D$7,4,FALSE),"Chưa có giá")</x:f>
        <x:v>45000</x:v>
      </x:c>
      <x:c r="F152" t="str">
        <x:v>Có</x:v>
      </x:c>
      <x:c r="G152" t="n">
        <x:v>48</x:v>
      </x:c>
    </x:row>
    <x:row r="153">
      <x:c r="A153" t="str">
        <x:v>VD0152</x:v>
      </x:c>
      <x:c r="B153" t="str">
        <x:v>R03</x:v>
      </x:c>
      <x:c r="C153" t="str">
        <x:f>TRIM(B153)</x:f>
        <x:v>R03</x:v>
      </x:c>
      <x:c r="D153" t="str">
        <x:v>Khách hàng 152</x:v>
      </x:c>
      <x:c r="E153" s="12" t="n">
        <x:f>IFERROR(VLOOKUP(C153,BangGia!$A$2:$D$7,4,FALSE),"Chưa có giá")</x:f>
        <x:v>38000</x:v>
      </x:c>
      <x:c r="F153" t="str">
        <x:v>Có</x:v>
      </x:c>
      <x:c r="G153" t="n">
        <x:v>61</x:v>
      </x:c>
    </x:row>
    <x:row r="154">
      <x:c r="A154" t="str">
        <x:v>VD0153</x:v>
      </x:c>
      <x:c r="B154" t="str">
        <x:v>R04</x:v>
      </x:c>
      <x:c r="C154" t="str">
        <x:f>TRIM(B154)</x:f>
        <x:v>R04</x:v>
      </x:c>
      <x:c r="D154" t="str">
        <x:v>Khách hàng 153</x:v>
      </x:c>
      <x:c r="E154" s="12" t="n">
        <x:f>IFERROR(VLOOKUP(C154,BangGia!$A$2:$D$7,4,FALSE),"Chưa có giá")</x:f>
        <x:v>52000</x:v>
      </x:c>
      <x:c r="F154" t="str">
        <x:v>Không</x:v>
      </x:c>
      <x:c r="G154" t="n">
        <x:v>74</x:v>
      </x:c>
    </x:row>
    <x:row r="155">
      <x:c r="A155" t="str">
        <x:v>VD0154</x:v>
      </x:c>
      <x:c r="B155" t="str">
        <x:v>R05</x:v>
      </x:c>
      <x:c r="C155" t="str">
        <x:f>TRIM(B155)</x:f>
        <x:v>R05</x:v>
      </x:c>
      <x:c r="D155" t="str">
        <x:v>Khách hàng 154</x:v>
      </x:c>
      <x:c r="E155" s="12" t="n">
        <x:f>IFERROR(VLOOKUP(C155,BangGia!$A$2:$D$7,4,FALSE),"Chưa có giá")</x:f>
        <x:v>30000</x:v>
      </x:c>
      <x:c r="F155" t="str">
        <x:v>Có</x:v>
      </x:c>
      <x:c r="G155" t="n">
        <x:v>87</x:v>
      </x:c>
    </x:row>
    <x:row r="156">
      <x:c r="A156" t="str">
        <x:v>VD0155</x:v>
      </x:c>
      <x:c r="B156" t="str">
        <x:v>R06</x:v>
      </x:c>
      <x:c r="C156" t="str">
        <x:f>TRIM(B156)</x:f>
        <x:v>R06</x:v>
      </x:c>
      <x:c r="D156" t="str">
        <x:v>Khách hàng 155</x:v>
      </x:c>
      <x:c r="E156" s="12" t="n">
        <x:f>IFERROR(VLOOKUP(C156,BangGia!$A$2:$D$7,4,FALSE),"Chưa có giá")</x:f>
        <x:v>42000</x:v>
      </x:c>
      <x:c r="F156" t="str">
        <x:v>Có</x:v>
      </x:c>
      <x:c r="G156" t="n">
        <x:v>100</x:v>
      </x:c>
    </x:row>
    <x:row r="157">
      <x:c r="A157" t="str">
        <x:v>VD0156</x:v>
      </x:c>
      <x:c r="B157" t="str">
        <x:v>R01</x:v>
      </x:c>
      <x:c r="C157" t="str">
        <x:f>TRIM(B157)</x:f>
        <x:v>R01</x:v>
      </x:c>
      <x:c r="D157" t="str">
        <x:v>Khách hàng 156</x:v>
      </x:c>
      <x:c r="E157" s="12" t="n">
        <x:f>IFERROR(VLOOKUP(C157,BangGia!$A$2:$D$7,4,FALSE),"Chưa có giá")</x:f>
        <x:v>22000</x:v>
      </x:c>
      <x:c r="F157" t="str">
        <x:v>Có</x:v>
      </x:c>
      <x:c r="G157" t="n">
        <x:v>113</x:v>
      </x:c>
    </x:row>
    <x:row r="158">
      <x:c r="A158" t="str">
        <x:v>VD0157</x:v>
      </x:c>
      <x:c r="B158" t="str">
        <x:v>R02</x:v>
      </x:c>
      <x:c r="C158" t="str">
        <x:f>TRIM(B158)</x:f>
        <x:v>R02</x:v>
      </x:c>
      <x:c r="D158" t="str">
        <x:v>Khách hàng 157</x:v>
      </x:c>
      <x:c r="E158" s="12" t="n">
        <x:f>IFERROR(VLOOKUP(C158,BangGia!$A$2:$D$7,4,FALSE),"Chưa có giá")</x:f>
        <x:v>45000</x:v>
      </x:c>
      <x:c r="F158" t="str">
        <x:v>Có</x:v>
      </x:c>
      <x:c r="G158" t="n">
        <x:v>126</x:v>
      </x:c>
    </x:row>
    <x:row r="159">
      <x:c r="A159" t="str">
        <x:v>VD0158</x:v>
      </x:c>
      <x:c r="B159" t="str">
        <x:v>R03</x:v>
      </x:c>
      <x:c r="C159" t="str">
        <x:f>TRIM(B159)</x:f>
        <x:v>R03</x:v>
      </x:c>
      <x:c r="D159" t="str">
        <x:v>Khách hàng 158</x:v>
      </x:c>
      <x:c r="E159" s="12" t="n">
        <x:f>IFERROR(VLOOKUP(C159,BangGia!$A$2:$D$7,4,FALSE),"Chưa có giá")</x:f>
        <x:v>38000</x:v>
      </x:c>
      <x:c r="F159" t="str">
        <x:v>Có</x:v>
      </x:c>
      <x:c r="G159" t="n">
        <x:v>139</x:v>
      </x:c>
    </x:row>
    <x:row r="160">
      <x:c r="A160" t="str">
        <x:v>VD0159</x:v>
      </x:c>
      <x:c r="B160" t="str">
        <x:v>R04</x:v>
      </x:c>
      <x:c r="C160" t="str">
        <x:f>TRIM(B160)</x:f>
        <x:v>R04</x:v>
      </x:c>
      <x:c r="D160" t="str">
        <x:v>Khách hàng 159</x:v>
      </x:c>
      <x:c r="E160" s="12" t="n">
        <x:f>IFERROR(VLOOKUP(C160,BangGia!$A$2:$D$7,4,FALSE),"Chưa có giá")</x:f>
        <x:v>52000</x:v>
      </x:c>
      <x:c r="F160" t="str">
        <x:v>Có</x:v>
      </x:c>
      <x:c r="G160" t="n">
        <x:v>152</x:v>
      </x:c>
    </x:row>
    <x:row r="161">
      <x:c r="A161" t="str">
        <x:v>VD0160</x:v>
      </x:c>
      <x:c r="B161" t="str">
        <x:v>R05</x:v>
      </x:c>
      <x:c r="C161" t="str">
        <x:f>TRIM(B161)</x:f>
        <x:v>R05</x:v>
      </x:c>
      <x:c r="D161" t="str">
        <x:v>Khách hàng 160</x:v>
      </x:c>
      <x:c r="E161" s="12" t="n">
        <x:f>IFERROR(VLOOKUP(C161,BangGia!$A$2:$D$7,4,FALSE),"Chưa có giá")</x:f>
        <x:v>30000</x:v>
      </x:c>
      <x:c r="F161" t="str">
        <x:v>Có</x:v>
      </x:c>
      <x:c r="G161" t="n">
        <x:v>165</x:v>
      </x:c>
    </x:row>
    <x:row r="162">
      <x:c r="A162" t="str">
        <x:v>VD0161</x:v>
      </x:c>
      <x:c r="B162" t="str">
        <x:v>R06</x:v>
      </x:c>
      <x:c r="C162" t="str">
        <x:f>TRIM(B162)</x:f>
        <x:v>R06</x:v>
      </x:c>
      <x:c r="D162" t="str">
        <x:v>Khách hàng 161</x:v>
      </x:c>
      <x:c r="E162" s="12" t="n">
        <x:f>IFERROR(VLOOKUP(C162,BangGia!$A$2:$D$7,4,FALSE),"Chưa có giá")</x:f>
        <x:v>42000</x:v>
      </x:c>
      <x:c r="F162" t="str">
        <x:v>Có</x:v>
      </x:c>
      <x:c r="G162" t="n">
        <x:v>178</x:v>
      </x:c>
    </x:row>
    <x:row r="163">
      <x:c r="A163" t="str">
        <x:v>VD0162</x:v>
      </x:c>
      <x:c r="B163" t="str">
        <x:v>R01</x:v>
      </x:c>
      <x:c r="C163" t="str">
        <x:f>TRIM(B163)</x:f>
        <x:v>R01</x:v>
      </x:c>
      <x:c r="D163" t="str">
        <x:v>Khách hàng 162</x:v>
      </x:c>
      <x:c r="E163" s="12" t="n">
        <x:f>IFERROR(VLOOKUP(C163,BangGia!$A$2:$D$7,4,FALSE),"Chưa có giá")</x:f>
        <x:v>22000</x:v>
      </x:c>
      <x:c r="F163" t="str">
        <x:v>Không</x:v>
      </x:c>
      <x:c r="G163" t="n">
        <x:v>41</x:v>
      </x:c>
    </x:row>
    <x:row r="164">
      <x:c r="A164" t="str">
        <x:v>VD0163</x:v>
      </x:c>
      <x:c r="B164" t="str">
        <x:v>R02</x:v>
      </x:c>
      <x:c r="C164" t="str">
        <x:f>TRIM(B164)</x:f>
        <x:v>R02</x:v>
      </x:c>
      <x:c r="D164" t="str">
        <x:v>Khách hàng 163</x:v>
      </x:c>
      <x:c r="E164" s="12" t="n">
        <x:f>IFERROR(VLOOKUP(C164,BangGia!$A$2:$D$7,4,FALSE),"Chưa có giá")</x:f>
        <x:v>45000</x:v>
      </x:c>
      <x:c r="F164" t="str">
        <x:v>Có</x:v>
      </x:c>
      <x:c r="G164" t="n">
        <x:v>54</x:v>
      </x:c>
    </x:row>
    <x:row r="165">
      <x:c r="A165" t="str">
        <x:v>VD0164</x:v>
      </x:c>
      <x:c r="B165" t="str">
        <x:v>R03 </x:v>
      </x:c>
      <x:c r="C165" t="str">
        <x:f>TRIM(B165)</x:f>
        <x:v>R03</x:v>
      </x:c>
      <x:c r="D165" t="str">
        <x:v>Khách hàng 164</x:v>
      </x:c>
      <x:c r="E165" s="12" t="n">
        <x:f>IFERROR(VLOOKUP(C165,BangGia!$A$2:$D$7,4,FALSE),"Chưa có giá")</x:f>
        <x:v>38000</x:v>
      </x:c>
      <x:c r="F165" t="str">
        <x:v>Có</x:v>
      </x:c>
      <x:c r="G165" t="n">
        <x:v>67</x:v>
      </x:c>
    </x:row>
    <x:row r="166">
      <x:c r="A166" t="str">
        <x:v>VD0165</x:v>
      </x:c>
      <x:c r="B166" t="str">
        <x:v>R04</x:v>
      </x:c>
      <x:c r="C166" t="str">
        <x:f>TRIM(B166)</x:f>
        <x:v>R04</x:v>
      </x:c>
      <x:c r="D166" t="str">
        <x:v>Khách hàng 165</x:v>
      </x:c>
      <x:c r="E166" s="12" t="n">
        <x:f>IFERROR(VLOOKUP(C166,BangGia!$A$2:$D$7,4,FALSE),"Chưa có giá")</x:f>
        <x:v>52000</x:v>
      </x:c>
      <x:c r="F166" t="str">
        <x:v>Có</x:v>
      </x:c>
      <x:c r="G166" t="n">
        <x:v>80</x:v>
      </x:c>
    </x:row>
    <x:row r="167">
      <x:c r="A167" t="str">
        <x:v>VD0166</x:v>
      </x:c>
      <x:c r="B167" t="str">
        <x:v>R05</x:v>
      </x:c>
      <x:c r="C167" t="str">
        <x:f>TRIM(B167)</x:f>
        <x:v>R05</x:v>
      </x:c>
      <x:c r="D167" t="str">
        <x:v>Khách hàng 166</x:v>
      </x:c>
      <x:c r="E167" s="12" t="n">
        <x:f>IFERROR(VLOOKUP(C167,BangGia!$A$2:$D$7,4,FALSE),"Chưa có giá")</x:f>
        <x:v>30000</x:v>
      </x:c>
      <x:c r="F167" t="str">
        <x:v>Có</x:v>
      </x:c>
      <x:c r="G167" t="n">
        <x:v>93</x:v>
      </x:c>
    </x:row>
    <x:row r="168">
      <x:c r="A168" t="str">
        <x:v>VD0167</x:v>
      </x:c>
      <x:c r="B168" t="str">
        <x:v>R06</x:v>
      </x:c>
      <x:c r="C168" t="str">
        <x:f>TRIM(B168)</x:f>
        <x:v>R06</x:v>
      </x:c>
      <x:c r="D168" t="str">
        <x:v>Khách hàng 167</x:v>
      </x:c>
      <x:c r="E168" s="12" t="n">
        <x:f>IFERROR(VLOOKUP(C168,BangGia!$A$2:$D$7,4,FALSE),"Chưa có giá")</x:f>
        <x:v>42000</x:v>
      </x:c>
      <x:c r="F168" t="str">
        <x:v>Có</x:v>
      </x:c>
      <x:c r="G168" t="n">
        <x:v>106</x:v>
      </x:c>
    </x:row>
    <x:row r="169">
      <x:c r="A169" t="str">
        <x:v>VD0168</x:v>
      </x:c>
      <x:c r="B169" t="str">
        <x:v>R01</x:v>
      </x:c>
      <x:c r="C169" t="str">
        <x:f>TRIM(B169)</x:f>
        <x:v>R01</x:v>
      </x:c>
      <x:c r="D169" t="str">
        <x:v>Khách hàng 168</x:v>
      </x:c>
      <x:c r="E169" s="12" t="n">
        <x:f>IFERROR(VLOOKUP(C169,BangGia!$A$2:$D$7,4,FALSE),"Chưa có giá")</x:f>
        <x:v>22000</x:v>
      </x:c>
      <x:c r="F169" t="str">
        <x:v>Có</x:v>
      </x:c>
      <x:c r="G169" t="n">
        <x:v>119</x:v>
      </x:c>
    </x:row>
    <x:row r="170">
      <x:c r="A170" t="str">
        <x:v>VD0169</x:v>
      </x:c>
      <x:c r="B170" t="str">
        <x:v>R02</x:v>
      </x:c>
      <x:c r="C170" t="str">
        <x:f>TRIM(B170)</x:f>
        <x:v>R02</x:v>
      </x:c>
      <x:c r="D170" t="str">
        <x:v>Khách hàng 169</x:v>
      </x:c>
      <x:c r="E170" s="12" t="n">
        <x:f>IFERROR(VLOOKUP(C170,BangGia!$A$2:$D$7,4,FALSE),"Chưa có giá")</x:f>
        <x:v>45000</x:v>
      </x:c>
      <x:c r="F170" t="str">
        <x:v>Có</x:v>
      </x:c>
      <x:c r="G170" t="n">
        <x:v>132</x:v>
      </x:c>
    </x:row>
    <x:row r="171">
      <x:c r="A171" t="str">
        <x:v>VD0170</x:v>
      </x:c>
      <x:c r="B171" t="str">
        <x:v>R03</x:v>
      </x:c>
      <x:c r="C171" t="str">
        <x:f>TRIM(B171)</x:f>
        <x:v>R03</x:v>
      </x:c>
      <x:c r="D171" t="str">
        <x:v>Khách hàng 170</x:v>
      </x:c>
      <x:c r="E171" s="12" t="n">
        <x:f>IFERROR(VLOOKUP(C171,BangGia!$A$2:$D$7,4,FALSE),"Chưa có giá")</x:f>
        <x:v>38000</x:v>
      </x:c>
      <x:c r="F171" t="str">
        <x:v>Có</x:v>
      </x:c>
      <x:c r="G171" t="n">
        <x:v>145</x:v>
      </x:c>
    </x:row>
    <x:row r="172">
      <x:c r="A172" t="str">
        <x:v>VD0171</x:v>
      </x:c>
      <x:c r="B172" t="str">
        <x:v>R04</x:v>
      </x:c>
      <x:c r="C172" t="str">
        <x:f>TRIM(B172)</x:f>
        <x:v>R04</x:v>
      </x:c>
      <x:c r="D172" t="str">
        <x:v>Khách hàng 171</x:v>
      </x:c>
      <x:c r="E172" s="12" t="n">
        <x:f>IFERROR(VLOOKUP(C172,BangGia!$A$2:$D$7,4,FALSE),"Chưa có giá")</x:f>
        <x:v>52000</x:v>
      </x:c>
      <x:c r="F172" t="str">
        <x:v>Không</x:v>
      </x:c>
      <x:c r="G172" t="n">
        <x:v>158</x:v>
      </x:c>
    </x:row>
    <x:row r="173">
      <x:c r="A173" t="str">
        <x:v>VD0172</x:v>
      </x:c>
      <x:c r="B173" t="str">
        <x:v>R05</x:v>
      </x:c>
      <x:c r="C173" t="str">
        <x:f>TRIM(B173)</x:f>
        <x:v>R05</x:v>
      </x:c>
      <x:c r="D173" t="str">
        <x:v>Khách hàng 172</x:v>
      </x:c>
      <x:c r="E173" s="12" t="n">
        <x:f>IFERROR(VLOOKUP(C173,BangGia!$A$2:$D$7,4,FALSE),"Chưa có giá")</x:f>
        <x:v>30000</x:v>
      </x:c>
      <x:c r="F173" t="str">
        <x:v>Có</x:v>
      </x:c>
      <x:c r="G173" t="n">
        <x:v>171</x:v>
      </x:c>
    </x:row>
    <x:row r="174">
      <x:c r="A174" t="str">
        <x:v>VD0173</x:v>
      </x:c>
      <x:c r="B174" t="str">
        <x:v>R06</x:v>
      </x:c>
      <x:c r="C174" t="str">
        <x:f>TRIM(B174)</x:f>
        <x:v>R06</x:v>
      </x:c>
      <x:c r="D174" t="str">
        <x:v>Khách hàng 173</x:v>
      </x:c>
      <x:c r="E174" s="12" t="n">
        <x:f>IFERROR(VLOOKUP(C174,BangGia!$A$2:$D$7,4,FALSE),"Chưa có giá")</x:f>
        <x:v>42000</x:v>
      </x:c>
      <x:c r="F174" t="str">
        <x:v>Có</x:v>
      </x:c>
      <x:c r="G174" t="n">
        <x:v>184</x:v>
      </x:c>
    </x:row>
    <x:row r="175">
      <x:c r="A175" t="str">
        <x:v>VD0174</x:v>
      </x:c>
      <x:c r="B175" t="str">
        <x:v>R01</x:v>
      </x:c>
      <x:c r="C175" t="str">
        <x:f>TRIM(B175)</x:f>
        <x:v>R01</x:v>
      </x:c>
      <x:c r="D175" t="str">
        <x:v>Khách hàng 174</x:v>
      </x:c>
      <x:c r="E175" s="12" t="n">
        <x:f>IFERROR(VLOOKUP(C175,BangGia!$A$2:$D$7,4,FALSE),"Chưa có giá")</x:f>
        <x:v>22000</x:v>
      </x:c>
      <x:c r="F175" t="str">
        <x:v>Có</x:v>
      </x:c>
      <x:c r="G175" t="n">
        <x:v>47</x:v>
      </x:c>
    </x:row>
    <x:row r="176">
      <x:c r="A176" t="str">
        <x:v>VD0175</x:v>
      </x:c>
      <x:c r="B176" t="str">
        <x:v>R02</x:v>
      </x:c>
      <x:c r="C176" t="str">
        <x:f>TRIM(B176)</x:f>
        <x:v>R02</x:v>
      </x:c>
      <x:c r="D176" t="str">
        <x:v>Khách hàng 175</x:v>
      </x:c>
      <x:c r="E176" s="12" t="n">
        <x:f>IFERROR(VLOOKUP(C176,BangGia!$A$2:$D$7,4,FALSE),"Chưa có giá")</x:f>
        <x:v>45000</x:v>
      </x:c>
      <x:c r="F176" t="str">
        <x:v>Có</x:v>
      </x:c>
      <x:c r="G176" t="n">
        <x:v>60</x:v>
      </x:c>
    </x:row>
    <x:row r="177">
      <x:c r="A177" t="str">
        <x:v>VD0176</x:v>
      </x:c>
      <x:c r="B177" t="str">
        <x:v>R03</x:v>
      </x:c>
      <x:c r="C177" t="str">
        <x:f>TRIM(B177)</x:f>
        <x:v>R03</x:v>
      </x:c>
      <x:c r="D177" t="str">
        <x:v>Khách hàng 176</x:v>
      </x:c>
      <x:c r="E177" s="12" t="n">
        <x:f>IFERROR(VLOOKUP(C177,BangGia!$A$2:$D$7,4,FALSE),"Chưa có giá")</x:f>
        <x:v>38000</x:v>
      </x:c>
      <x:c r="F177" t="str">
        <x:v>Có</x:v>
      </x:c>
      <x:c r="G177" t="n">
        <x:v>73</x:v>
      </x:c>
    </x:row>
    <x:row r="178">
      <x:c r="A178" t="str">
        <x:v>VD0177</x:v>
      </x:c>
      <x:c r="B178" t="str">
        <x:v>R04</x:v>
      </x:c>
      <x:c r="C178" t="str">
        <x:f>TRIM(B178)</x:f>
        <x:v>R04</x:v>
      </x:c>
      <x:c r="D178" t="str">
        <x:v>Khách hàng 177</x:v>
      </x:c>
      <x:c r="E178" s="12" t="n">
        <x:f>IFERROR(VLOOKUP(C178,BangGia!$A$2:$D$7,4,FALSE),"Chưa có giá")</x:f>
        <x:v>52000</x:v>
      </x:c>
      <x:c r="F178" t="str">
        <x:v>Có</x:v>
      </x:c>
      <x:c r="G178" t="n">
        <x:v>86</x:v>
      </x:c>
    </x:row>
    <x:row r="179">
      <x:c r="A179" t="str">
        <x:v>VD0178</x:v>
      </x:c>
      <x:c r="B179" t="str">
        <x:v>R05</x:v>
      </x:c>
      <x:c r="C179" t="str">
        <x:f>TRIM(B179)</x:f>
        <x:v>R05</x:v>
      </x:c>
      <x:c r="D179" t="str">
        <x:v>Khách hàng 178</x:v>
      </x:c>
      <x:c r="E179" s="12" t="n">
        <x:f>IFERROR(VLOOKUP(C179,BangGia!$A$2:$D$7,4,FALSE),"Chưa có giá")</x:f>
        <x:v>30000</x:v>
      </x:c>
      <x:c r="F179" t="str">
        <x:v>Có</x:v>
      </x:c>
      <x:c r="G179" t="n">
        <x:v>99</x:v>
      </x:c>
    </x:row>
    <x:row r="180">
      <x:c r="A180" t="str">
        <x:v>VD0179</x:v>
      </x:c>
      <x:c r="B180" t="str">
        <x:v>R06</x:v>
      </x:c>
      <x:c r="C180" t="str">
        <x:f>TRIM(B180)</x:f>
        <x:v>R06</x:v>
      </x:c>
      <x:c r="D180" t="str">
        <x:v>Khách hàng 179</x:v>
      </x:c>
      <x:c r="E180" s="12" t="n">
        <x:f>IFERROR(VLOOKUP(C180,BangGia!$A$2:$D$7,4,FALSE),"Chưa có giá")</x:f>
        <x:v>42000</x:v>
      </x:c>
      <x:c r="F180" t="str">
        <x:v>Có</x:v>
      </x:c>
      <x:c r="G180" t="n">
        <x:v>112</x:v>
      </x:c>
    </x:row>
    <x:row r="181">
      <x:c r="A181" t="str">
        <x:v>VD0180</x:v>
      </x:c>
      <x:c r="B181" t="str">
        <x:v>R01</x:v>
      </x:c>
      <x:c r="C181" t="str">
        <x:f>TRIM(B181)</x:f>
        <x:v>R01</x:v>
      </x:c>
      <x:c r="D181" t="str">
        <x:v>Khách hàng 180</x:v>
      </x:c>
      <x:c r="E181" s="12" t="n">
        <x:f>IFERROR(VLOOKUP(C181,BangGia!$A$2:$D$7,4,FALSE),"Chưa có giá")</x:f>
        <x:v>22000</x:v>
      </x:c>
      <x:c r="F181" t="str">
        <x:v>Không</x:v>
      </x:c>
      <x:c r="G181" t="n">
        <x:v>125</x:v>
      </x:c>
    </x:row>
    <x:row r="182">
      <x:c r="A182" t="str">
        <x:v>VD0181</x:v>
      </x:c>
      <x:c r="B182" t="str">
        <x:v>R02</x:v>
      </x:c>
      <x:c r="C182" t="str">
        <x:f>TRIM(B182)</x:f>
        <x:v>R02</x:v>
      </x:c>
      <x:c r="D182" t="str">
        <x:v>Khách hàng 181</x:v>
      </x:c>
      <x:c r="E182" s="12" t="n">
        <x:f>IFERROR(VLOOKUP(C182,BangGia!$A$2:$D$7,4,FALSE),"Chưa có giá")</x:f>
        <x:v>45000</x:v>
      </x:c>
      <x:c r="F182" t="str">
        <x:v>Có</x:v>
      </x:c>
      <x:c r="G182" t="n">
        <x:v>138</x:v>
      </x:c>
    </x:row>
    <x:row r="183">
      <x:c r="A183" t="str">
        <x:v>VD0182</x:v>
      </x:c>
      <x:c r="B183" t="str">
        <x:v>R03</x:v>
      </x:c>
      <x:c r="C183" t="str">
        <x:f>TRIM(B183)</x:f>
        <x:v>R03</x:v>
      </x:c>
      <x:c r="D183" t="str">
        <x:v>Khách hàng 182</x:v>
      </x:c>
      <x:c r="E183" s="12" t="n">
        <x:f>IFERROR(VLOOKUP(C183,BangGia!$A$2:$D$7,4,FALSE),"Chưa có giá")</x:f>
        <x:v>38000</x:v>
      </x:c>
      <x:c r="F183" t="str">
        <x:v>Có</x:v>
      </x:c>
      <x:c r="G183" t="n">
        <x:v>151</x:v>
      </x:c>
    </x:row>
    <x:row r="184">
      <x:c r="A184" t="str">
        <x:v>VD0183</x:v>
      </x:c>
      <x:c r="B184" t="str">
        <x:v>R04</x:v>
      </x:c>
      <x:c r="C184" t="str">
        <x:f>TRIM(B184)</x:f>
        <x:v>R04</x:v>
      </x:c>
      <x:c r="D184" t="str">
        <x:v>Khách hàng 183</x:v>
      </x:c>
      <x:c r="E184" s="12" t="n">
        <x:f>IFERROR(VLOOKUP(C184,BangGia!$A$2:$D$7,4,FALSE),"Chưa có giá")</x:f>
        <x:v>52000</x:v>
      </x:c>
      <x:c r="F184" t="str">
        <x:v>Có</x:v>
      </x:c>
      <x:c r="G184" t="n">
        <x:v>164</x:v>
      </x:c>
    </x:row>
    <x:row r="185">
      <x:c r="A185" t="str">
        <x:v>VD0184</x:v>
      </x:c>
      <x:c r="B185" t="str">
        <x:v>R05</x:v>
      </x:c>
      <x:c r="C185" t="str">
        <x:f>TRIM(B185)</x:f>
        <x:v>R05</x:v>
      </x:c>
      <x:c r="D185" t="str">
        <x:v>Khách hàng 184</x:v>
      </x:c>
      <x:c r="E185" s="12" t="n">
        <x:f>IFERROR(VLOOKUP(C185,BangGia!$A$2:$D$7,4,FALSE),"Chưa có giá")</x:f>
        <x:v>30000</x:v>
      </x:c>
      <x:c r="F185" t="str">
        <x:v>Có</x:v>
      </x:c>
      <x:c r="G185" t="n">
        <x:v>177</x:v>
      </x:c>
    </x:row>
    <x:row r="186">
      <x:c r="A186" t="str">
        <x:v>VD0185</x:v>
      </x:c>
      <x:c r="B186" t="str">
        <x:v>R06</x:v>
      </x:c>
      <x:c r="C186" t="str">
        <x:f>TRIM(B186)</x:f>
        <x:v>R06</x:v>
      </x:c>
      <x:c r="D186" t="str">
        <x:v>Khách hàng 185</x:v>
      </x:c>
      <x:c r="E186" s="12" t="n">
        <x:f>IFERROR(VLOOKUP(C186,BangGia!$A$2:$D$7,4,FALSE),"Chưa có giá")</x:f>
        <x:v>42000</x:v>
      </x:c>
      <x:c r="F186" t="str">
        <x:v>Có</x:v>
      </x:c>
      <x:c r="G186" t="n">
        <x:v>40</x:v>
      </x:c>
    </x:row>
    <x:row r="187">
      <x:c r="A187" t="str">
        <x:v>VD0186</x:v>
      </x:c>
      <x:c r="B187" t="str">
        <x:v>R01</x:v>
      </x:c>
      <x:c r="C187" t="str">
        <x:f>TRIM(B187)</x:f>
        <x:v>R01</x:v>
      </x:c>
      <x:c r="D187" t="str">
        <x:v>Khách hàng 186</x:v>
      </x:c>
      <x:c r="E187" s="12" t="n">
        <x:f>IFERROR(VLOOKUP(C187,BangGia!$A$2:$D$7,4,FALSE),"Chưa có giá")</x:f>
        <x:v>22000</x:v>
      </x:c>
      <x:c r="F187" t="str">
        <x:v>Có</x:v>
      </x:c>
      <x:c r="G187" t="n">
        <x:v>53</x:v>
      </x:c>
    </x:row>
    <x:row r="188">
      <x:c r="A188" t="str">
        <x:v>VD0187</x:v>
      </x:c>
      <x:c r="B188" t="str">
        <x:v>R02</x:v>
      </x:c>
      <x:c r="C188" t="str">
        <x:f>TRIM(B188)</x:f>
        <x:v>R02</x:v>
      </x:c>
      <x:c r="D188" t="str">
        <x:v>Khách hàng 187</x:v>
      </x:c>
      <x:c r="E188" s="12" t="n">
        <x:f>IFERROR(VLOOKUP(C188,BangGia!$A$2:$D$7,4,FALSE),"Chưa có giá")</x:f>
        <x:v>45000</x:v>
      </x:c>
      <x:c r="F188" t="str">
        <x:v>Có</x:v>
      </x:c>
      <x:c r="G188" t="n">
        <x:v>66</x:v>
      </x:c>
    </x:row>
    <x:row r="189">
      <x:c r="A189" t="str">
        <x:v>VD0188</x:v>
      </x:c>
      <x:c r="B189" t="str">
        <x:v>R03</x:v>
      </x:c>
      <x:c r="C189" t="str">
        <x:f>TRIM(B189)</x:f>
        <x:v>R03</x:v>
      </x:c>
      <x:c r="D189" t="str">
        <x:v>Khách hàng 188</x:v>
      </x:c>
      <x:c r="E189" s="12" t="n">
        <x:f>IFERROR(VLOOKUP(C189,BangGia!$A$2:$D$7,4,FALSE),"Chưa có giá")</x:f>
        <x:v>38000</x:v>
      </x:c>
      <x:c r="F189" t="str">
        <x:v>Có</x:v>
      </x:c>
      <x:c r="G189" t="n">
        <x:v>79</x:v>
      </x:c>
    </x:row>
    <x:row r="190">
      <x:c r="A190" t="str">
        <x:v>VD0189</x:v>
      </x:c>
      <x:c r="B190" t="str">
        <x:v>R04</x:v>
      </x:c>
      <x:c r="C190" t="str">
        <x:f>TRIM(B190)</x:f>
        <x:v>R04</x:v>
      </x:c>
      <x:c r="D190" t="str">
        <x:v>Khách hàng 189</x:v>
      </x:c>
      <x:c r="E190" s="12" t="n">
        <x:f>IFERROR(VLOOKUP(C190,BangGia!$A$2:$D$7,4,FALSE),"Chưa có giá")</x:f>
        <x:v>52000</x:v>
      </x:c>
      <x:c r="F190" t="str">
        <x:v>Không</x:v>
      </x:c>
      <x:c r="G190" t="n">
        <x:v>92</x:v>
      </x:c>
    </x:row>
    <x:row r="191">
      <x:c r="A191" t="str">
        <x:v>VD0190</x:v>
      </x:c>
      <x:c r="B191" t="str">
        <x:v>R05</x:v>
      </x:c>
      <x:c r="C191" t="str">
        <x:f>TRIM(B191)</x:f>
        <x:v>R05</x:v>
      </x:c>
      <x:c r="D191" t="str">
        <x:v>Khách hàng 190</x:v>
      </x:c>
      <x:c r="E191" s="12" t="n">
        <x:f>IFERROR(VLOOKUP(C191,BangGia!$A$2:$D$7,4,FALSE),"Chưa có giá")</x:f>
        <x:v>30000</x:v>
      </x:c>
      <x:c r="F191" t="str">
        <x:v>Có</x:v>
      </x:c>
      <x:c r="G191" t="n">
        <x:v>105</x:v>
      </x:c>
    </x:row>
    <x:row r="192">
      <x:c r="A192" t="str">
        <x:v>VD0191</x:v>
      </x:c>
      <x:c r="B192" t="str">
        <x:v>R06</x:v>
      </x:c>
      <x:c r="C192" t="str">
        <x:f>TRIM(B192)</x:f>
        <x:v>R06</x:v>
      </x:c>
      <x:c r="D192" t="str">
        <x:v>Khách hàng 191</x:v>
      </x:c>
      <x:c r="E192" s="12" t="n">
        <x:f>IFERROR(VLOOKUP(C192,BangGia!$A$2:$D$7,4,FALSE),"Chưa có giá")</x:f>
        <x:v>42000</x:v>
      </x:c>
      <x:c r="F192" t="str">
        <x:v>Có</x:v>
      </x:c>
      <x:c r="G192" t="n">
        <x:v>118</x:v>
      </x:c>
    </x:row>
    <x:row r="193">
      <x:c r="A193" t="str">
        <x:v>VD0192</x:v>
      </x:c>
      <x:c r="B193" t="str">
        <x:v>R01</x:v>
      </x:c>
      <x:c r="C193" t="str">
        <x:f>TRIM(B193)</x:f>
        <x:v>R01</x:v>
      </x:c>
      <x:c r="D193" t="str">
        <x:v>Khách hàng 192</x:v>
      </x:c>
      <x:c r="E193" s="12" t="n">
        <x:f>IFERROR(VLOOKUP(C193,BangGia!$A$2:$D$7,4,FALSE),"Chưa có giá")</x:f>
        <x:v>22000</x:v>
      </x:c>
      <x:c r="F193" t="str">
        <x:v>Có</x:v>
      </x:c>
      <x:c r="G193" t="n">
        <x:v>131</x:v>
      </x:c>
    </x:row>
    <x:row r="194">
      <x:c r="A194" t="str">
        <x:v>VD0193</x:v>
      </x:c>
      <x:c r="B194" t="str">
        <x:v>R02</x:v>
      </x:c>
      <x:c r="C194" t="str">
        <x:f>TRIM(B194)</x:f>
        <x:v>R02</x:v>
      </x:c>
      <x:c r="D194" t="str">
        <x:v>Khách hàng 193</x:v>
      </x:c>
      <x:c r="E194" s="12" t="n">
        <x:f>IFERROR(VLOOKUP(C194,BangGia!$A$2:$D$7,4,FALSE),"Chưa có giá")</x:f>
        <x:v>45000</x:v>
      </x:c>
      <x:c r="F194" t="str">
        <x:v>Có</x:v>
      </x:c>
      <x:c r="G194" t="n">
        <x:v>144</x:v>
      </x:c>
    </x:row>
    <x:row r="195">
      <x:c r="A195" t="str">
        <x:v>VD0194</x:v>
      </x:c>
      <x:c r="B195" t="str">
        <x:v>R03</x:v>
      </x:c>
      <x:c r="C195" t="str">
        <x:f>TRIM(B195)</x:f>
        <x:v>R03</x:v>
      </x:c>
      <x:c r="D195" t="str">
        <x:v>Khách hàng 194</x:v>
      </x:c>
      <x:c r="E195" s="12" t="n">
        <x:f>IFERROR(VLOOKUP(C195,BangGia!$A$2:$D$7,4,FALSE),"Chưa có giá")</x:f>
        <x:v>38000</x:v>
      </x:c>
      <x:c r="F195" t="str">
        <x:v>Có</x:v>
      </x:c>
      <x:c r="G195" t="n">
        <x:v>157</x:v>
      </x:c>
    </x:row>
    <x:row r="196">
      <x:c r="A196" t="str">
        <x:v>VD0195</x:v>
      </x:c>
      <x:c r="B196" t="str">
        <x:v>R04</x:v>
      </x:c>
      <x:c r="C196" t="str">
        <x:f>TRIM(B196)</x:f>
        <x:v>R04</x:v>
      </x:c>
      <x:c r="D196" t="str">
        <x:v>Khách hàng 195</x:v>
      </x:c>
      <x:c r="E196" s="12" t="n">
        <x:f>IFERROR(VLOOKUP(C196,BangGia!$A$2:$D$7,4,FALSE),"Chưa có giá")</x:f>
        <x:v>52000</x:v>
      </x:c>
      <x:c r="F196" t="str">
        <x:v>Có</x:v>
      </x:c>
      <x:c r="G196" t="n">
        <x:v>170</x:v>
      </x:c>
    </x:row>
    <x:row r="197">
      <x:c r="A197" t="str">
        <x:v>VD0196</x:v>
      </x:c>
      <x:c r="B197" t="str">
        <x:v>R05</x:v>
      </x:c>
      <x:c r="C197" t="str">
        <x:f>TRIM(B197)</x:f>
        <x:v>R05</x:v>
      </x:c>
      <x:c r="D197" t="str">
        <x:v>Khách hàng 196</x:v>
      </x:c>
      <x:c r="E197" s="12" t="n">
        <x:f>IFERROR(VLOOKUP(C197,BangGia!$A$2:$D$7,4,FALSE),"Chưa có giá")</x:f>
        <x:v>30000</x:v>
      </x:c>
      <x:c r="F197" t="str">
        <x:v>Có</x:v>
      </x:c>
      <x:c r="G197" t="n">
        <x:v>183</x:v>
      </x:c>
    </x:row>
    <x:row r="198">
      <x:c r="A198" t="str">
        <x:v>VD0197</x:v>
      </x:c>
      <x:c r="B198" t="str">
        <x:v>R06</x:v>
      </x:c>
      <x:c r="C198" t="str">
        <x:f>TRIM(B198)</x:f>
        <x:v>R06</x:v>
      </x:c>
      <x:c r="D198" t="str">
        <x:v>Khách hàng 197</x:v>
      </x:c>
      <x:c r="E198" s="12" t="n">
        <x:f>IFERROR(VLOOKUP(C198,BangGia!$A$2:$D$7,4,FALSE),"Chưa có giá")</x:f>
        <x:v>42000</x:v>
      </x:c>
      <x:c r="F198" t="str">
        <x:v>Có</x:v>
      </x:c>
      <x:c r="G198" t="n">
        <x:v>46</x:v>
      </x:c>
    </x:row>
    <x:row r="199">
      <x:c r="A199" t="str">
        <x:v>VD0198</x:v>
      </x:c>
      <x:c r="B199" t="str">
        <x:v>R01</x:v>
      </x:c>
      <x:c r="C199" t="str">
        <x:f>TRIM(B199)</x:f>
        <x:v>R01</x:v>
      </x:c>
      <x:c r="D199" t="str">
        <x:v>Khách hàng 198</x:v>
      </x:c>
      <x:c r="E199" s="12" t="n">
        <x:f>IFERROR(VLOOKUP(C199,BangGia!$A$2:$D$7,4,FALSE),"Chưa có giá")</x:f>
        <x:v>22000</x:v>
      </x:c>
      <x:c r="F199" t="str">
        <x:v>Không</x:v>
      </x:c>
      <x:c r="G199" t="n">
        <x:v>59</x:v>
      </x:c>
    </x:row>
    <x:row r="200">
      <x:c r="A200" t="str">
        <x:v>VD0199</x:v>
      </x:c>
      <x:c r="B200" t="str">
        <x:v>R02</x:v>
      </x:c>
      <x:c r="C200" t="str">
        <x:f>TRIM(B200)</x:f>
        <x:v>R02</x:v>
      </x:c>
      <x:c r="D200" t="str">
        <x:v>Khách hàng 199</x:v>
      </x:c>
      <x:c r="E200" s="12" t="n">
        <x:f>IFERROR(VLOOKUP(C200,BangGia!$A$2:$D$7,4,FALSE),"Chưa có giá")</x:f>
        <x:v>45000</x:v>
      </x:c>
      <x:c r="F200" t="str">
        <x:v>Có</x:v>
      </x:c>
      <x:c r="G200" t="n">
        <x:v>72</x:v>
      </x:c>
    </x:row>
    <x:row r="201">
      <x:c r="A201" t="str">
        <x:v>VD0200</x:v>
      </x:c>
      <x:c r="B201" t="str">
        <x:v>R03</x:v>
      </x:c>
      <x:c r="C201" t="str">
        <x:f>TRIM(B201)</x:f>
        <x:v>R03</x:v>
      </x:c>
      <x:c r="D201" t="str">
        <x:v>Khách hàng 200</x:v>
      </x:c>
      <x:c r="E201" s="12" t="n">
        <x:f>IFERROR(VLOOKUP(C201,BangGia!$A$2:$D$7,4,FALSE),"Chưa có giá")</x:f>
        <x:v>38000</x:v>
      </x:c>
      <x:c r="F201" t="str">
        <x:v>Có</x:v>
      </x:c>
      <x:c r="G201" t="n">
        <x:v>85</x:v>
      </x:c>
    </x:row>
    <x:row r="202">
      <x:c r="A202" t="str">
        <x:v>VD0201</x:v>
      </x:c>
      <x:c r="B202" t="str">
        <x:v>R04</x:v>
      </x:c>
      <x:c r="C202" t="str">
        <x:f>TRIM(B202)</x:f>
        <x:v>R04</x:v>
      </x:c>
      <x:c r="D202" t="str">
        <x:v>Khách hàng 201</x:v>
      </x:c>
      <x:c r="E202" s="12" t="n">
        <x:f>IFERROR(VLOOKUP(C202,BangGia!$A$2:$D$7,4,FALSE),"Chưa có giá")</x:f>
        <x:v>52000</x:v>
      </x:c>
      <x:c r="F202" t="str">
        <x:v>Có</x:v>
      </x:c>
      <x:c r="G202" t="n">
        <x:v>98</x:v>
      </x:c>
    </x:row>
    <x:row r="203">
      <x:c r="A203" t="str">
        <x:v>VD0202</x:v>
      </x:c>
      <x:c r="B203" t="str">
        <x:v>R05</x:v>
      </x:c>
      <x:c r="C203" t="str">
        <x:f>TRIM(B203)</x:f>
        <x:v>R05</x:v>
      </x:c>
      <x:c r="D203" t="str">
        <x:v>Khách hàng 202</x:v>
      </x:c>
      <x:c r="E203" s="12" t="n">
        <x:f>IFERROR(VLOOKUP(C203,BangGia!$A$2:$D$7,4,FALSE),"Chưa có giá")</x:f>
        <x:v>30000</x:v>
      </x:c>
      <x:c r="F203" t="str">
        <x:v>Có</x:v>
      </x:c>
      <x:c r="G203" t="n">
        <x:v>111</x:v>
      </x:c>
    </x:row>
    <x:row r="204">
      <x:c r="A204" t="str">
        <x:v>VD0203</x:v>
      </x:c>
      <x:c r="B204" t="str">
        <x:v>R06</x:v>
      </x:c>
      <x:c r="C204" t="str">
        <x:f>TRIM(B204)</x:f>
        <x:v>R06</x:v>
      </x:c>
      <x:c r="D204" t="str">
        <x:v>Khách hàng 203</x:v>
      </x:c>
      <x:c r="E204" s="12" t="n">
        <x:f>IFERROR(VLOOKUP(C204,BangGia!$A$2:$D$7,4,FALSE),"Chưa có giá")</x:f>
        <x:v>42000</x:v>
      </x:c>
      <x:c r="F204" t="str">
        <x:v>Có</x:v>
      </x:c>
      <x:c r="G204" t="n">
        <x:v>124</x:v>
      </x:c>
    </x:row>
    <x:row r="205">
      <x:c r="A205" t="str">
        <x:v>VD0204</x:v>
      </x:c>
      <x:c r="B205" t="str">
        <x:v>R01</x:v>
      </x:c>
      <x:c r="C205" t="str">
        <x:f>TRIM(B205)</x:f>
        <x:v>R01</x:v>
      </x:c>
      <x:c r="D205" t="str">
        <x:v>Khách hàng 204</x:v>
      </x:c>
      <x:c r="E205" s="12" t="n">
        <x:f>IFERROR(VLOOKUP(C205,BangGia!$A$2:$D$7,4,FALSE),"Chưa có giá")</x:f>
        <x:v>22000</x:v>
      </x:c>
      <x:c r="F205" t="str">
        <x:v>Có</x:v>
      </x:c>
      <x:c r="G205" t="n">
        <x:v>137</x:v>
      </x:c>
    </x:row>
    <x:row r="206">
      <x:c r="A206" t="str">
        <x:v>VD0205</x:v>
      </x:c>
      <x:c r="B206" t="str">
        <x:v>R02 </x:v>
      </x:c>
      <x:c r="C206" t="str">
        <x:f>TRIM(B206)</x:f>
        <x:v>R02</x:v>
      </x:c>
      <x:c r="D206" t="str">
        <x:v>Khách hàng 205</x:v>
      </x:c>
      <x:c r="E206" s="12" t="n">
        <x:f>IFERROR(VLOOKUP(C206,BangGia!$A$2:$D$7,4,FALSE),"Chưa có giá")</x:f>
        <x:v>45000</x:v>
      </x:c>
      <x:c r="F206" t="str">
        <x:v>Có</x:v>
      </x:c>
      <x:c r="G206" t="n">
        <x:v>150</x:v>
      </x:c>
    </x:row>
    <x:row r="207">
      <x:c r="A207" t="str">
        <x:v>VD0206</x:v>
      </x:c>
      <x:c r="B207" t="str">
        <x:v>R03</x:v>
      </x:c>
      <x:c r="C207" t="str">
        <x:f>TRIM(B207)</x:f>
        <x:v>R03</x:v>
      </x:c>
      <x:c r="D207" t="str">
        <x:v>Khách hàng 206</x:v>
      </x:c>
      <x:c r="E207" s="12" t="n">
        <x:f>IFERROR(VLOOKUP(C207,BangGia!$A$2:$D$7,4,FALSE),"Chưa có giá")</x:f>
        <x:v>38000</x:v>
      </x:c>
      <x:c r="F207" t="str">
        <x:v>Có</x:v>
      </x:c>
      <x:c r="G207" t="n">
        <x:v>163</x:v>
      </x:c>
    </x:row>
    <x:row r="208">
      <x:c r="A208" t="str">
        <x:v>VD0207</x:v>
      </x:c>
      <x:c r="B208" t="str">
        <x:v>R04</x:v>
      </x:c>
      <x:c r="C208" t="str">
        <x:f>TRIM(B208)</x:f>
        <x:v>R04</x:v>
      </x:c>
      <x:c r="D208" t="str">
        <x:v>Khách hàng 207</x:v>
      </x:c>
      <x:c r="E208" s="12" t="n">
        <x:f>IFERROR(VLOOKUP(C208,BangGia!$A$2:$D$7,4,FALSE),"Chưa có giá")</x:f>
        <x:v>52000</x:v>
      </x:c>
      <x:c r="F208" t="str">
        <x:v>Không</x:v>
      </x:c>
      <x:c r="G208" t="n">
        <x:v>176</x:v>
      </x:c>
    </x:row>
    <x:row r="209">
      <x:c r="A209" t="str">
        <x:v>VD0208</x:v>
      </x:c>
      <x:c r="B209" t="str">
        <x:v>R05</x:v>
      </x:c>
      <x:c r="C209" t="str">
        <x:f>TRIM(B209)</x:f>
        <x:v>R05</x:v>
      </x:c>
      <x:c r="D209" t="str">
        <x:v>Khách hàng 208</x:v>
      </x:c>
      <x:c r="E209" s="12" t="n">
        <x:f>IFERROR(VLOOKUP(C209,BangGia!$A$2:$D$7,4,FALSE),"Chưa có giá")</x:f>
        <x:v>30000</x:v>
      </x:c>
      <x:c r="F209" t="str">
        <x:v>Có</x:v>
      </x:c>
      <x:c r="G209" t="n">
        <x:v>39</x:v>
      </x:c>
    </x:row>
    <x:row r="210">
      <x:c r="A210" t="str">
        <x:v>VD0209</x:v>
      </x:c>
      <x:c r="B210" t="str">
        <x:v>R06</x:v>
      </x:c>
      <x:c r="C210" t="str">
        <x:f>TRIM(B210)</x:f>
        <x:v>R06</x:v>
      </x:c>
      <x:c r="D210" t="str">
        <x:v>Khách hàng 209</x:v>
      </x:c>
      <x:c r="E210" s="12" t="n">
        <x:f>IFERROR(VLOOKUP(C210,BangGia!$A$2:$D$7,4,FALSE),"Chưa có giá")</x:f>
        <x:v>42000</x:v>
      </x:c>
      <x:c r="F210" t="str">
        <x:v>Có</x:v>
      </x:c>
      <x:c r="G210" t="n">
        <x:v>52</x:v>
      </x:c>
    </x:row>
    <x:row r="211">
      <x:c r="A211" t="str">
        <x:v>VD0210</x:v>
      </x:c>
      <x:c r="B211" t="str">
        <x:v>R01</x:v>
      </x:c>
      <x:c r="C211" t="str">
        <x:f>TRIM(B211)</x:f>
        <x:v>R01</x:v>
      </x:c>
      <x:c r="D211" t="str">
        <x:v>Khách hàng 210</x:v>
      </x:c>
      <x:c r="E211" s="12" t="n">
        <x:f>IFERROR(VLOOKUP(C211,BangGia!$A$2:$D$7,4,FALSE),"Chưa có giá")</x:f>
        <x:v>22000</x:v>
      </x:c>
      <x:c r="F211" t="str">
        <x:v>Có</x:v>
      </x:c>
      <x:c r="G211" t="n">
        <x:v>65</x:v>
      </x:c>
    </x:row>
    <x:row r="212">
      <x:c r="A212" t="str">
        <x:v>VD0211</x:v>
      </x:c>
      <x:c r="B212" t="str">
        <x:v>R02</x:v>
      </x:c>
      <x:c r="C212" t="str">
        <x:f>TRIM(B212)</x:f>
        <x:v>R02</x:v>
      </x:c>
      <x:c r="D212" t="str">
        <x:v>Khách hàng 211</x:v>
      </x:c>
      <x:c r="E212" s="12" t="n">
        <x:f>IFERROR(VLOOKUP(C212,BangGia!$A$2:$D$7,4,FALSE),"Chưa có giá")</x:f>
        <x:v>45000</x:v>
      </x:c>
      <x:c r="F212" t="str">
        <x:v>Có</x:v>
      </x:c>
      <x:c r="G212" t="n">
        <x:v>78</x:v>
      </x:c>
    </x:row>
    <x:row r="213">
      <x:c r="A213" t="str">
        <x:v>VD0212</x:v>
      </x:c>
      <x:c r="B213" t="str">
        <x:v>R03</x:v>
      </x:c>
      <x:c r="C213" t="str">
        <x:f>TRIM(B213)</x:f>
        <x:v>R03</x:v>
      </x:c>
      <x:c r="D213" t="str">
        <x:v>Khách hàng 212</x:v>
      </x:c>
      <x:c r="E213" s="12" t="n">
        <x:f>IFERROR(VLOOKUP(C213,BangGia!$A$2:$D$7,4,FALSE),"Chưa có giá")</x:f>
        <x:v>38000</x:v>
      </x:c>
      <x:c r="F213" t="str">
        <x:v>Có</x:v>
      </x:c>
      <x:c r="G213" t="n">
        <x:v>91</x:v>
      </x:c>
    </x:row>
    <x:row r="214">
      <x:c r="A214" t="str">
        <x:v>VD0213</x:v>
      </x:c>
      <x:c r="B214" t="str">
        <x:v>R04</x:v>
      </x:c>
      <x:c r="C214" t="str">
        <x:f>TRIM(B214)</x:f>
        <x:v>R04</x:v>
      </x:c>
      <x:c r="D214" t="str">
        <x:v>Khách hàng 213</x:v>
      </x:c>
      <x:c r="E214" s="12" t="n">
        <x:f>IFERROR(VLOOKUP(C214,BangGia!$A$2:$D$7,4,FALSE),"Chưa có giá")</x:f>
        <x:v>52000</x:v>
      </x:c>
      <x:c r="F214" t="str">
        <x:v>Có</x:v>
      </x:c>
      <x:c r="G214" t="n">
        <x:v>104</x:v>
      </x:c>
    </x:row>
    <x:row r="215">
      <x:c r="A215" t="str">
        <x:v>VD0214</x:v>
      </x:c>
      <x:c r="B215" t="str">
        <x:v>R05</x:v>
      </x:c>
      <x:c r="C215" t="str">
        <x:f>TRIM(B215)</x:f>
        <x:v>R05</x:v>
      </x:c>
      <x:c r="D215" t="str">
        <x:v>Khách hàng 214</x:v>
      </x:c>
      <x:c r="E215" s="12" t="n">
        <x:f>IFERROR(VLOOKUP(C215,BangGia!$A$2:$D$7,4,FALSE),"Chưa có giá")</x:f>
        <x:v>30000</x:v>
      </x:c>
      <x:c r="F215" t="str">
        <x:v>Có</x:v>
      </x:c>
      <x:c r="G215" t="n">
        <x:v>117</x:v>
      </x:c>
    </x:row>
    <x:row r="216">
      <x:c r="A216" t="str">
        <x:v>VD0215</x:v>
      </x:c>
      <x:c r="B216" t="str">
        <x:v>R06</x:v>
      </x:c>
      <x:c r="C216" t="str">
        <x:f>TRIM(B216)</x:f>
        <x:v>R06</x:v>
      </x:c>
      <x:c r="D216" t="str">
        <x:v>Khách hàng 215</x:v>
      </x:c>
      <x:c r="E216" s="12" t="n">
        <x:f>IFERROR(VLOOKUP(C216,BangGia!$A$2:$D$7,4,FALSE),"Chưa có giá")</x:f>
        <x:v>42000</x:v>
      </x:c>
      <x:c r="F216" t="str">
        <x:v>Có</x:v>
      </x:c>
      <x:c r="G216" t="n">
        <x:v>130</x:v>
      </x:c>
    </x:row>
    <x:row r="217">
      <x:c r="A217" t="str">
        <x:v>VD0216</x:v>
      </x:c>
      <x:c r="B217" t="str">
        <x:v>R01</x:v>
      </x:c>
      <x:c r="C217" t="str">
        <x:f>TRIM(B217)</x:f>
        <x:v>R01</x:v>
      </x:c>
      <x:c r="D217" t="str">
        <x:v>Khách hàng 216</x:v>
      </x:c>
      <x:c r="E217" s="12" t="n">
        <x:f>IFERROR(VLOOKUP(C217,BangGia!$A$2:$D$7,4,FALSE),"Chưa có giá")</x:f>
        <x:v>22000</x:v>
      </x:c>
      <x:c r="F217" t="str">
        <x:v>Không</x:v>
      </x:c>
      <x:c r="G217" t="n">
        <x:v>143</x:v>
      </x:c>
    </x:row>
    <x:row r="218">
      <x:c r="A218" t="str">
        <x:v>VD0217</x:v>
      </x:c>
      <x:c r="B218" t="str">
        <x:v>R02</x:v>
      </x:c>
      <x:c r="C218" t="str">
        <x:f>TRIM(B218)</x:f>
        <x:v>R02</x:v>
      </x:c>
      <x:c r="D218" t="str">
        <x:v>Khách hàng 217</x:v>
      </x:c>
      <x:c r="E218" s="12" t="n">
        <x:f>IFERROR(VLOOKUP(C218,BangGia!$A$2:$D$7,4,FALSE),"Chưa có giá")</x:f>
        <x:v>45000</x:v>
      </x:c>
      <x:c r="F218" t="str">
        <x:v>Có</x:v>
      </x:c>
      <x:c r="G218" t="n">
        <x:v>156</x:v>
      </x:c>
    </x:row>
    <x:row r="219">
      <x:c r="A219" t="str">
        <x:v>VD0218</x:v>
      </x:c>
      <x:c r="B219" t="str">
        <x:v>R03</x:v>
      </x:c>
      <x:c r="C219" t="str">
        <x:f>TRIM(B219)</x:f>
        <x:v>R03</x:v>
      </x:c>
      <x:c r="D219" t="str">
        <x:v>Khách hàng 218</x:v>
      </x:c>
      <x:c r="E219" s="12" t="n">
        <x:f>IFERROR(VLOOKUP(C219,BangGia!$A$2:$D$7,4,FALSE),"Chưa có giá")</x:f>
        <x:v>38000</x:v>
      </x:c>
      <x:c r="F219" t="str">
        <x:v>Có</x:v>
      </x:c>
      <x:c r="G219" t="n">
        <x:v>169</x:v>
      </x:c>
    </x:row>
    <x:row r="220">
      <x:c r="A220" t="str">
        <x:v>VD0219</x:v>
      </x:c>
      <x:c r="B220" t="str">
        <x:v>R04</x:v>
      </x:c>
      <x:c r="C220" t="str">
        <x:f>TRIM(B220)</x:f>
        <x:v>R04</x:v>
      </x:c>
      <x:c r="D220" t="str">
        <x:v>Khách hàng 219</x:v>
      </x:c>
      <x:c r="E220" s="12" t="n">
        <x:f>IFERROR(VLOOKUP(C220,BangGia!$A$2:$D$7,4,FALSE),"Chưa có giá")</x:f>
        <x:v>52000</x:v>
      </x:c>
      <x:c r="F220" t="str">
        <x:v>Có</x:v>
      </x:c>
      <x:c r="G220" t="n">
        <x:v>182</x:v>
      </x:c>
    </x:row>
    <x:row r="221">
      <x:c r="A221" t="str">
        <x:v>VD0220</x:v>
      </x:c>
      <x:c r="B221" t="str">
        <x:v>R05</x:v>
      </x:c>
      <x:c r="C221" t="str">
        <x:f>TRIM(B221)</x:f>
        <x:v>R05</x:v>
      </x:c>
      <x:c r="D221" t="str">
        <x:v>Khách hàng 220</x:v>
      </x:c>
      <x:c r="E221" s="12" t="n">
        <x:f>IFERROR(VLOOKUP(C221,BangGia!$A$2:$D$7,4,FALSE),"Chưa có giá")</x:f>
        <x:v>30000</x:v>
      </x:c>
      <x:c r="F221" t="str">
        <x:v>Có</x:v>
      </x:c>
      <x:c r="G221" t="n">
        <x:v>45</x:v>
      </x:c>
    </x:row>
    <x:row r="222">
      <x:c r="A222" t="str">
        <x:v>VD0221</x:v>
      </x:c>
      <x:c r="B222" t="str">
        <x:v>R06</x:v>
      </x:c>
      <x:c r="C222" t="str">
        <x:f>TRIM(B222)</x:f>
        <x:v>R06</x:v>
      </x:c>
      <x:c r="D222" t="str">
        <x:v>Khách hàng 221</x:v>
      </x:c>
      <x:c r="E222" s="12" t="n">
        <x:f>IFERROR(VLOOKUP(C222,BangGia!$A$2:$D$7,4,FALSE),"Chưa có giá")</x:f>
        <x:v>42000</x:v>
      </x:c>
      <x:c r="F222" t="str">
        <x:v>Có</x:v>
      </x:c>
      <x:c r="G222" t="n">
        <x:v>58</x:v>
      </x:c>
    </x:row>
    <x:row r="223">
      <x:c r="A223" t="str">
        <x:v>VD0222</x:v>
      </x:c>
      <x:c r="B223" t="str">
        <x:v>R01</x:v>
      </x:c>
      <x:c r="C223" t="str">
        <x:f>TRIM(B223)</x:f>
        <x:v>R01</x:v>
      </x:c>
      <x:c r="D223" t="str">
        <x:v>Khách hàng 222</x:v>
      </x:c>
      <x:c r="E223" s="12" t="n">
        <x:f>IFERROR(VLOOKUP(C223,BangGia!$A$2:$D$7,4,FALSE),"Chưa có giá")</x:f>
        <x:v>22000</x:v>
      </x:c>
      <x:c r="F223" t="str">
        <x:v>Có</x:v>
      </x:c>
      <x:c r="G223" t="n">
        <x:v>71</x:v>
      </x:c>
    </x:row>
    <x:row r="224">
      <x:c r="A224" t="str">
        <x:v>VD0223</x:v>
      </x:c>
      <x:c r="B224" t="str">
        <x:v>R02</x:v>
      </x:c>
      <x:c r="C224" t="str">
        <x:f>TRIM(B224)</x:f>
        <x:v>R02</x:v>
      </x:c>
      <x:c r="D224" t="str">
        <x:v>Khách hàng 223</x:v>
      </x:c>
      <x:c r="E224" s="12" t="n">
        <x:f>IFERROR(VLOOKUP(C224,BangGia!$A$2:$D$7,4,FALSE),"Chưa có giá")</x:f>
        <x:v>45000</x:v>
      </x:c>
      <x:c r="F224" t="str">
        <x:v>Có</x:v>
      </x:c>
      <x:c r="G224" t="n">
        <x:v>84</x:v>
      </x:c>
    </x:row>
    <x:row r="225">
      <x:c r="A225" t="str">
        <x:v>VD0224</x:v>
      </x:c>
      <x:c r="B225" t="str">
        <x:v>R03</x:v>
      </x:c>
      <x:c r="C225" t="str">
        <x:f>TRIM(B225)</x:f>
        <x:v>R03</x:v>
      </x:c>
      <x:c r="D225" t="str">
        <x:v>Khách hàng 224</x:v>
      </x:c>
      <x:c r="E225" s="12" t="n">
        <x:f>IFERROR(VLOOKUP(C225,BangGia!$A$2:$D$7,4,FALSE),"Chưa có giá")</x:f>
        <x:v>38000</x:v>
      </x:c>
      <x:c r="F225" t="str">
        <x:v>Có</x:v>
      </x:c>
      <x:c r="G225" t="n">
        <x:v>97</x:v>
      </x:c>
    </x:row>
    <x:row r="226">
      <x:c r="A226" t="str">
        <x:v>VD0225</x:v>
      </x:c>
      <x:c r="B226" t="str">
        <x:v>R04</x:v>
      </x:c>
      <x:c r="C226" t="str">
        <x:f>TRIM(B226)</x:f>
        <x:v>R04</x:v>
      </x:c>
      <x:c r="D226" t="str">
        <x:v>Khách hàng 225</x:v>
      </x:c>
      <x:c r="E226" s="12" t="n">
        <x:f>IFERROR(VLOOKUP(C226,BangGia!$A$2:$D$7,4,FALSE),"Chưa có giá")</x:f>
        <x:v>52000</x:v>
      </x:c>
      <x:c r="F226" t="str">
        <x:v>Không</x:v>
      </x:c>
      <x:c r="G226" t="n">
        <x:v>110</x:v>
      </x:c>
    </x:row>
    <x:row r="227">
      <x:c r="A227" t="str">
        <x:v>VD0226</x:v>
      </x:c>
      <x:c r="B227" t="str">
        <x:v>R05</x:v>
      </x:c>
      <x:c r="C227" t="str">
        <x:f>TRIM(B227)</x:f>
        <x:v>R05</x:v>
      </x:c>
      <x:c r="D227" t="str">
        <x:v>Khách hàng 226</x:v>
      </x:c>
      <x:c r="E227" s="12" t="n">
        <x:f>IFERROR(VLOOKUP(C227,BangGia!$A$2:$D$7,4,FALSE),"Chưa có giá")</x:f>
        <x:v>30000</x:v>
      </x:c>
      <x:c r="F227" t="str">
        <x:v>Có</x:v>
      </x:c>
      <x:c r="G227" t="n">
        <x:v>123</x:v>
      </x:c>
    </x:row>
    <x:row r="228">
      <x:c r="A228" t="str">
        <x:v>VD0227</x:v>
      </x:c>
      <x:c r="B228" t="str">
        <x:v>R06</x:v>
      </x:c>
      <x:c r="C228" t="str">
        <x:f>TRIM(B228)</x:f>
        <x:v>R06</x:v>
      </x:c>
      <x:c r="D228" t="str">
        <x:v>Khách hàng 227</x:v>
      </x:c>
      <x:c r="E228" s="12" t="n">
        <x:f>IFERROR(VLOOKUP(C228,BangGia!$A$2:$D$7,4,FALSE),"Chưa có giá")</x:f>
        <x:v>42000</x:v>
      </x:c>
      <x:c r="F228" t="str">
        <x:v>Có</x:v>
      </x:c>
      <x:c r="G228" t="n">
        <x:v>136</x:v>
      </x:c>
    </x:row>
    <x:row r="229">
      <x:c r="A229" t="str">
        <x:v>VD0228</x:v>
      </x:c>
      <x:c r="B229" t="str">
        <x:v>R01</x:v>
      </x:c>
      <x:c r="C229" t="str">
        <x:f>TRIM(B229)</x:f>
        <x:v>R01</x:v>
      </x:c>
      <x:c r="D229" t="str">
        <x:v>Khách hàng 228</x:v>
      </x:c>
      <x:c r="E229" s="12" t="n">
        <x:f>IFERROR(VLOOKUP(C229,BangGia!$A$2:$D$7,4,FALSE),"Chưa có giá")</x:f>
        <x:v>22000</x:v>
      </x:c>
      <x:c r="F229" t="str">
        <x:v>Có</x:v>
      </x:c>
      <x:c r="G229" t="n">
        <x:v>149</x:v>
      </x:c>
    </x:row>
    <x:row r="230">
      <x:c r="A230" t="str">
        <x:v>VD0229</x:v>
      </x:c>
      <x:c r="B230" t="str">
        <x:v>R02</x:v>
      </x:c>
      <x:c r="C230" t="str">
        <x:f>TRIM(B230)</x:f>
        <x:v>R02</x:v>
      </x:c>
      <x:c r="D230" t="str">
        <x:v>Khách hàng 229</x:v>
      </x:c>
      <x:c r="E230" s="12" t="n">
        <x:f>IFERROR(VLOOKUP(C230,BangGia!$A$2:$D$7,4,FALSE),"Chưa có giá")</x:f>
        <x:v>45000</x:v>
      </x:c>
      <x:c r="F230" t="str">
        <x:v>Có</x:v>
      </x:c>
      <x:c r="G230" t="n">
        <x:v>162</x:v>
      </x:c>
    </x:row>
    <x:row r="231">
      <x:c r="A231" t="str">
        <x:v>VD0230</x:v>
      </x:c>
      <x:c r="B231" t="str">
        <x:v>R03</x:v>
      </x:c>
      <x:c r="C231" t="str">
        <x:f>TRIM(B231)</x:f>
        <x:v>R03</x:v>
      </x:c>
      <x:c r="D231" t="str">
        <x:v>Khách hàng 230</x:v>
      </x:c>
      <x:c r="E231" s="12" t="n">
        <x:f>IFERROR(VLOOKUP(C231,BangGia!$A$2:$D$7,4,FALSE),"Chưa có giá")</x:f>
        <x:v>38000</x:v>
      </x:c>
      <x:c r="F231" t="str">
        <x:v>Có</x:v>
      </x:c>
      <x:c r="G231" t="n">
        <x:v>175</x:v>
      </x:c>
    </x:row>
    <x:row r="232">
      <x:c r="A232" t="str">
        <x:v>VD0231</x:v>
      </x:c>
      <x:c r="B232" t="str">
        <x:v>R04</x:v>
      </x:c>
      <x:c r="C232" t="str">
        <x:f>TRIM(B232)</x:f>
        <x:v>R04</x:v>
      </x:c>
      <x:c r="D232" t="str">
        <x:v>Khách hàng 231</x:v>
      </x:c>
      <x:c r="E232" s="12" t="n">
        <x:f>IFERROR(VLOOKUP(C232,BangGia!$A$2:$D$7,4,FALSE),"Chưa có giá")</x:f>
        <x:v>52000</x:v>
      </x:c>
      <x:c r="F232" t="str">
        <x:v>Có</x:v>
      </x:c>
      <x:c r="G232" t="n">
        <x:v>38</x:v>
      </x:c>
    </x:row>
    <x:row r="233">
      <x:c r="A233" t="str">
        <x:v>VD0232</x:v>
      </x:c>
      <x:c r="B233" t="str">
        <x:v>R05</x:v>
      </x:c>
      <x:c r="C233" t="str">
        <x:f>TRIM(B233)</x:f>
        <x:v>R05</x:v>
      </x:c>
      <x:c r="D233" t="str">
        <x:v>Khách hàng 232</x:v>
      </x:c>
      <x:c r="E233" s="12" t="n">
        <x:f>IFERROR(VLOOKUP(C233,BangGia!$A$2:$D$7,4,FALSE),"Chưa có giá")</x:f>
        <x:v>30000</x:v>
      </x:c>
      <x:c r="F233" t="str">
        <x:v>Có</x:v>
      </x:c>
      <x:c r="G233" t="n">
        <x:v>51</x:v>
      </x:c>
    </x:row>
    <x:row r="234">
      <x:c r="A234" t="str">
        <x:v>VD0233</x:v>
      </x:c>
      <x:c r="B234" t="str">
        <x:v>R06</x:v>
      </x:c>
      <x:c r="C234" t="str">
        <x:f>TRIM(B234)</x:f>
        <x:v>R06</x:v>
      </x:c>
      <x:c r="D234" t="str">
        <x:v>Khách hàng 233</x:v>
      </x:c>
      <x:c r="E234" s="12" t="n">
        <x:f>IFERROR(VLOOKUP(C234,BangGia!$A$2:$D$7,4,FALSE),"Chưa có giá")</x:f>
        <x:v>42000</x:v>
      </x:c>
      <x:c r="F234" t="str">
        <x:v>Có</x:v>
      </x:c>
      <x:c r="G234" t="n">
        <x:v>64</x:v>
      </x:c>
    </x:row>
    <x:row r="235">
      <x:c r="A235" t="str">
        <x:v>VD0234</x:v>
      </x:c>
      <x:c r="B235" t="str">
        <x:v>R01</x:v>
      </x:c>
      <x:c r="C235" t="str">
        <x:f>TRIM(B235)</x:f>
        <x:v>R01</x:v>
      </x:c>
      <x:c r="D235" t="str">
        <x:v>Khách hàng 234</x:v>
      </x:c>
      <x:c r="E235" s="12" t="n">
        <x:f>IFERROR(VLOOKUP(C235,BangGia!$A$2:$D$7,4,FALSE),"Chưa có giá")</x:f>
        <x:v>22000</x:v>
      </x:c>
      <x:c r="F235" t="str">
        <x:v>Không</x:v>
      </x:c>
      <x:c r="G235" t="n">
        <x:v>77</x:v>
      </x:c>
    </x:row>
    <x:row r="236">
      <x:c r="A236" t="str">
        <x:v>VD0235</x:v>
      </x:c>
      <x:c r="B236" t="str">
        <x:v>R02</x:v>
      </x:c>
      <x:c r="C236" t="str">
        <x:f>TRIM(B236)</x:f>
        <x:v>R02</x:v>
      </x:c>
      <x:c r="D236" t="str">
        <x:v>Khách hàng 235</x:v>
      </x:c>
      <x:c r="E236" s="12" t="n">
        <x:f>IFERROR(VLOOKUP(C236,BangGia!$A$2:$D$7,4,FALSE),"Chưa có giá")</x:f>
        <x:v>45000</x:v>
      </x:c>
      <x:c r="F236" t="str">
        <x:v>Có</x:v>
      </x:c>
      <x:c r="G236" t="n">
        <x:v>90</x:v>
      </x:c>
    </x:row>
    <x:row r="237">
      <x:c r="A237" t="str">
        <x:v>VD0236</x:v>
      </x:c>
      <x:c r="B237" t="str">
        <x:v>R03</x:v>
      </x:c>
      <x:c r="C237" t="str">
        <x:f>TRIM(B237)</x:f>
        <x:v>R03</x:v>
      </x:c>
      <x:c r="D237" t="str">
        <x:v>Khách hàng 236</x:v>
      </x:c>
      <x:c r="E237" s="12" t="n">
        <x:f>IFERROR(VLOOKUP(C237,BangGia!$A$2:$D$7,4,FALSE),"Chưa có giá")</x:f>
        <x:v>38000</x:v>
      </x:c>
      <x:c r="F237" t="str">
        <x:v>Có</x:v>
      </x:c>
      <x:c r="G237" t="n">
        <x:v>103</x:v>
      </x:c>
    </x:row>
    <x:row r="238">
      <x:c r="A238" t="str">
        <x:v>VD0237</x:v>
      </x:c>
      <x:c r="B238" t="str">
        <x:v>R04</x:v>
      </x:c>
      <x:c r="C238" t="str">
        <x:f>TRIM(B238)</x:f>
        <x:v>R04</x:v>
      </x:c>
      <x:c r="D238" t="str">
        <x:v>Khách hàng 237</x:v>
      </x:c>
      <x:c r="E238" s="12" t="n">
        <x:f>IFERROR(VLOOKUP(C238,BangGia!$A$2:$D$7,4,FALSE),"Chưa có giá")</x:f>
        <x:v>52000</x:v>
      </x:c>
      <x:c r="F238" t="str">
        <x:v>Có</x:v>
      </x:c>
      <x:c r="G238" t="n">
        <x:v>116</x:v>
      </x:c>
    </x:row>
    <x:row r="239">
      <x:c r="A239" t="str">
        <x:v>VD0238</x:v>
      </x:c>
      <x:c r="B239" t="str">
        <x:v>R05</x:v>
      </x:c>
      <x:c r="C239" t="str">
        <x:f>TRIM(B239)</x:f>
        <x:v>R05</x:v>
      </x:c>
      <x:c r="D239" t="str">
        <x:v>Khách hàng 238</x:v>
      </x:c>
      <x:c r="E239" s="12" t="n">
        <x:f>IFERROR(VLOOKUP(C239,BangGia!$A$2:$D$7,4,FALSE),"Chưa có giá")</x:f>
        <x:v>30000</x:v>
      </x:c>
      <x:c r="F239" t="str">
        <x:v>Có</x:v>
      </x:c>
      <x:c r="G239" t="n">
        <x:v>129</x:v>
      </x:c>
    </x:row>
    <x:row r="240">
      <x:c r="A240" t="str">
        <x:v>VD0239</x:v>
      </x:c>
      <x:c r="B240" t="str">
        <x:v>R06</x:v>
      </x:c>
      <x:c r="C240" t="str">
        <x:f>TRIM(B240)</x:f>
        <x:v>R06</x:v>
      </x:c>
      <x:c r="D240" t="str">
        <x:v>Khách hàng 239</x:v>
      </x:c>
      <x:c r="E240" s="12" t="n">
        <x:f>IFERROR(VLOOKUP(C240,BangGia!$A$2:$D$7,4,FALSE),"Chưa có giá")</x:f>
        <x:v>42000</x:v>
      </x:c>
      <x:c r="F240" t="str">
        <x:v>Có</x:v>
      </x:c>
      <x:c r="G240" t="n">
        <x:v>142</x:v>
      </x:c>
    </x:row>
    <x:row r="241">
      <x:c r="A241" t="str">
        <x:v>VD0240</x:v>
      </x:c>
      <x:c r="B241" t="str">
        <x:v>R01</x:v>
      </x:c>
      <x:c r="C241" t="str">
        <x:f>TRIM(B241)</x:f>
        <x:v>R01</x:v>
      </x:c>
      <x:c r="D241" t="str">
        <x:v>Khách hàng 240</x:v>
      </x:c>
      <x:c r="E241" s="12" t="n">
        <x:f>IFERROR(VLOOKUP(C241,BangGia!$A$2:$D$7,4,FALSE),"Chưa có giá")</x:f>
        <x:v>22000</x:v>
      </x:c>
      <x:c r="F241" t="str">
        <x:v>Có</x:v>
      </x:c>
      <x:c r="G241" t="n">
        <x:v>155</x:v>
      </x:c>
    </x:row>
    <x:row r="242">
      <x:c r="A242" t="str">
        <x:v>VD0241</x:v>
      </x:c>
      <x:c r="B242" t="str">
        <x:v>R02</x:v>
      </x:c>
      <x:c r="C242" t="str">
        <x:f>TRIM(B242)</x:f>
        <x:v>R02</x:v>
      </x:c>
      <x:c r="D242" t="str">
        <x:v>Khách hàng 241</x:v>
      </x:c>
      <x:c r="E242" s="12" t="n">
        <x:f>IFERROR(VLOOKUP(C242,BangGia!$A$2:$D$7,4,FALSE),"Chưa có giá")</x:f>
        <x:v>45000</x:v>
      </x:c>
      <x:c r="F242" t="str">
        <x:v>Có</x:v>
      </x:c>
      <x:c r="G242" t="n">
        <x:v>168</x:v>
      </x:c>
    </x:row>
    <x:row r="243">
      <x:c r="A243" t="str">
        <x:v>VD0242</x:v>
      </x:c>
      <x:c r="B243" t="str">
        <x:v>R03</x:v>
      </x:c>
      <x:c r="C243" t="str">
        <x:f>TRIM(B243)</x:f>
        <x:v>R03</x:v>
      </x:c>
      <x:c r="D243" t="str">
        <x:v>Khách hàng 242</x:v>
      </x:c>
      <x:c r="E243" s="12" t="n">
        <x:f>IFERROR(VLOOKUP(C243,BangGia!$A$2:$D$7,4,FALSE),"Chưa có giá")</x:f>
        <x:v>38000</x:v>
      </x:c>
      <x:c r="F243" t="str">
        <x:v>Có</x:v>
      </x:c>
      <x:c r="G243" t="n">
        <x:v>181</x:v>
      </x:c>
    </x:row>
    <x:row r="244">
      <x:c r="A244" t="str">
        <x:v>VD0243</x:v>
      </x:c>
      <x:c r="B244" t="str">
        <x:v>R04</x:v>
      </x:c>
      <x:c r="C244" t="str">
        <x:f>TRIM(B244)</x:f>
        <x:v>R04</x:v>
      </x:c>
      <x:c r="D244" t="str">
        <x:v>Khách hàng 243</x:v>
      </x:c>
      <x:c r="E244" s="12" t="n">
        <x:f>IFERROR(VLOOKUP(C244,BangGia!$A$2:$D$7,4,FALSE),"Chưa có giá")</x:f>
        <x:v>52000</x:v>
      </x:c>
      <x:c r="F244" t="str">
        <x:v>Không</x:v>
      </x:c>
      <x:c r="G244" t="n">
        <x:v>44</x:v>
      </x:c>
    </x:row>
    <x:row r="245">
      <x:c r="A245" t="str">
        <x:v>VD0244</x:v>
      </x:c>
      <x:c r="B245" t="str">
        <x:v>R05</x:v>
      </x:c>
      <x:c r="C245" t="str">
        <x:f>TRIM(B245)</x:f>
        <x:v>R05</x:v>
      </x:c>
      <x:c r="D245" t="str">
        <x:v>Khách hàng 244</x:v>
      </x:c>
      <x:c r="E245" s="12" t="n">
        <x:f>IFERROR(VLOOKUP(C245,BangGia!$A$2:$D$7,4,FALSE),"Chưa có giá")</x:f>
        <x:v>30000</x:v>
      </x:c>
      <x:c r="F245" t="str">
        <x:v>Có</x:v>
      </x:c>
      <x:c r="G245" t="n">
        <x:v>57</x:v>
      </x:c>
    </x:row>
    <x:row r="246">
      <x:c r="A246" t="str">
        <x:v>VD0245</x:v>
      </x:c>
      <x:c r="B246" t="str">
        <x:v>R06</x:v>
      </x:c>
      <x:c r="C246" t="str">
        <x:f>TRIM(B246)</x:f>
        <x:v>R06</x:v>
      </x:c>
      <x:c r="D246" t="str">
        <x:v>Khách hàng 245</x:v>
      </x:c>
      <x:c r="E246" s="12" t="n">
        <x:f>IFERROR(VLOOKUP(C246,BangGia!$A$2:$D$7,4,FALSE),"Chưa có giá")</x:f>
        <x:v>42000</x:v>
      </x:c>
      <x:c r="F246" t="str">
        <x:v>Có</x:v>
      </x:c>
      <x:c r="G246" t="n">
        <x:v>70</x:v>
      </x:c>
    </x:row>
    <x:row r="247">
      <x:c r="A247" t="str">
        <x:v>VD0246</x:v>
      </x:c>
      <x:c r="B247" t="str">
        <x:v>R01 </x:v>
      </x:c>
      <x:c r="C247" t="str">
        <x:f>TRIM(B247)</x:f>
        <x:v>R01</x:v>
      </x:c>
      <x:c r="D247" t="str">
        <x:v>Khách hàng 246</x:v>
      </x:c>
      <x:c r="E247" s="12" t="n">
        <x:f>IFERROR(VLOOKUP(C247,BangGia!$A$2:$D$7,4,FALSE),"Chưa có giá")</x:f>
        <x:v>22000</x:v>
      </x:c>
      <x:c r="F247" t="str">
        <x:v>Có</x:v>
      </x:c>
      <x:c r="G247" t="n">
        <x:v>83</x:v>
      </x:c>
    </x:row>
    <x:row r="248">
      <x:c r="A248" t="str">
        <x:v>VD0247</x:v>
      </x:c>
      <x:c r="B248" t="str">
        <x:v>R02</x:v>
      </x:c>
      <x:c r="C248" t="str">
        <x:f>TRIM(B248)</x:f>
        <x:v>R02</x:v>
      </x:c>
      <x:c r="D248" t="str">
        <x:v>Khách hàng 247</x:v>
      </x:c>
      <x:c r="E248" s="12" t="n">
        <x:f>IFERROR(VLOOKUP(C248,BangGia!$A$2:$D$7,4,FALSE),"Chưa có giá")</x:f>
        <x:v>45000</x:v>
      </x:c>
      <x:c r="F248" t="str">
        <x:v>Có</x:v>
      </x:c>
      <x:c r="G248" t="n">
        <x:v>96</x:v>
      </x:c>
    </x:row>
    <x:row r="249">
      <x:c r="A249" t="str">
        <x:v>VD0248</x:v>
      </x:c>
      <x:c r="B249" t="str">
        <x:v>R03</x:v>
      </x:c>
      <x:c r="C249" t="str">
        <x:f>TRIM(B249)</x:f>
        <x:v>R03</x:v>
      </x:c>
      <x:c r="D249" t="str">
        <x:v>Khách hàng 248</x:v>
      </x:c>
      <x:c r="E249" s="12" t="n">
        <x:f>IFERROR(VLOOKUP(C249,BangGia!$A$2:$D$7,4,FALSE),"Chưa có giá")</x:f>
        <x:v>38000</x:v>
      </x:c>
      <x:c r="F249" t="str">
        <x:v>Có</x:v>
      </x:c>
      <x:c r="G249" t="n">
        <x:v>109</x:v>
      </x:c>
    </x:row>
    <x:row r="250">
      <x:c r="A250" t="str">
        <x:v>VD0249</x:v>
      </x:c>
      <x:c r="B250" t="str">
        <x:v>R04</x:v>
      </x:c>
      <x:c r="C250" t="str">
        <x:f>TRIM(B250)</x:f>
        <x:v>R04</x:v>
      </x:c>
      <x:c r="D250" t="str">
        <x:v>Khách hàng 249</x:v>
      </x:c>
      <x:c r="E250" s="12" t="n">
        <x:f>IFERROR(VLOOKUP(C250,BangGia!$A$2:$D$7,4,FALSE),"Chưa có giá")</x:f>
        <x:v>52000</x:v>
      </x:c>
      <x:c r="F250" t="str">
        <x:v>Có</x:v>
      </x:c>
      <x:c r="G250" t="n">
        <x:v>122</x:v>
      </x:c>
    </x:row>
    <x:row r="251">
      <x:c r="A251" t="str">
        <x:v>VD0250</x:v>
      </x:c>
      <x:c r="B251" t="str">
        <x:v>R05</x:v>
      </x:c>
      <x:c r="C251" t="str">
        <x:f>TRIM(B251)</x:f>
        <x:v>R05</x:v>
      </x:c>
      <x:c r="D251" t="str">
        <x:v>Khách hàng 250</x:v>
      </x:c>
      <x:c r="E251" s="12" t="n">
        <x:f>IFERROR(VLOOKUP(C251,BangGia!$A$2:$D$7,4,FALSE),"Chưa có giá")</x:f>
        <x:v>30000</x:v>
      </x:c>
      <x:c r="F251" t="str">
        <x:v>Có</x:v>
      </x:c>
      <x:c r="G251" t="n">
        <x:v>135</x:v>
      </x:c>
    </x:row>
    <x:row r="252">
      <x:c r="A252" t="str">
        <x:v>VD0251</x:v>
      </x:c>
      <x:c r="B252" t="str">
        <x:v>R06</x:v>
      </x:c>
      <x:c r="C252" t="str">
        <x:f>TRIM(B252)</x:f>
        <x:v>R06</x:v>
      </x:c>
      <x:c r="D252" t="str">
        <x:v>Khách hàng 251</x:v>
      </x:c>
      <x:c r="E252" s="12" t="n">
        <x:f>IFERROR(VLOOKUP(C252,BangGia!$A$2:$D$7,4,FALSE),"Chưa có giá")</x:f>
        <x:v>42000</x:v>
      </x:c>
      <x:c r="F252" t="str">
        <x:v>Có</x:v>
      </x:c>
      <x:c r="G252" t="n">
        <x:v>148</x:v>
      </x:c>
    </x:row>
    <x:row r="253">
      <x:c r="A253" t="str">
        <x:v>VD0252</x:v>
      </x:c>
      <x:c r="B253" t="str">
        <x:v>R01</x:v>
      </x:c>
      <x:c r="C253" t="str">
        <x:f>TRIM(B253)</x:f>
        <x:v>R01</x:v>
      </x:c>
      <x:c r="D253" t="str">
        <x:v>Khách hàng 252</x:v>
      </x:c>
      <x:c r="E253" s="12" t="n">
        <x:f>IFERROR(VLOOKUP(C253,BangGia!$A$2:$D$7,4,FALSE),"Chưa có giá")</x:f>
        <x:v>22000</x:v>
      </x:c>
      <x:c r="F253" t="str">
        <x:v>Không</x:v>
      </x:c>
      <x:c r="G253" t="n">
        <x:v>161</x:v>
      </x:c>
    </x:row>
    <x:row r="254">
      <x:c r="A254" t="str">
        <x:v>VD0253</x:v>
      </x:c>
      <x:c r="B254" t="str">
        <x:v>R02</x:v>
      </x:c>
      <x:c r="C254" t="str">
        <x:f>TRIM(B254)</x:f>
        <x:v>R02</x:v>
      </x:c>
      <x:c r="D254" t="str">
        <x:v>Khách hàng 253</x:v>
      </x:c>
      <x:c r="E254" s="12" t="n">
        <x:f>IFERROR(VLOOKUP(C254,BangGia!$A$2:$D$7,4,FALSE),"Chưa có giá")</x:f>
        <x:v>45000</x:v>
      </x:c>
      <x:c r="F254" t="str">
        <x:v>Có</x:v>
      </x:c>
      <x:c r="G254" t="n">
        <x:v>174</x:v>
      </x:c>
    </x:row>
    <x:row r="255">
      <x:c r="A255" t="str">
        <x:v>VD0254</x:v>
      </x:c>
      <x:c r="B255" t="str">
        <x:v>R03</x:v>
      </x:c>
      <x:c r="C255" t="str">
        <x:f>TRIM(B255)</x:f>
        <x:v>R03</x:v>
      </x:c>
      <x:c r="D255" t="str">
        <x:v>Khách hàng 254</x:v>
      </x:c>
      <x:c r="E255" s="12" t="n">
        <x:f>IFERROR(VLOOKUP(C255,BangGia!$A$2:$D$7,4,FALSE),"Chưa có giá")</x:f>
        <x:v>38000</x:v>
      </x:c>
      <x:c r="F255" t="str">
        <x:v>Có</x:v>
      </x:c>
      <x:c r="G255" t="n">
        <x:v>37</x:v>
      </x:c>
    </x:row>
    <x:row r="256">
      <x:c r="A256" t="str">
        <x:v>VD0255</x:v>
      </x:c>
      <x:c r="B256" t="str">
        <x:v>R04</x:v>
      </x:c>
      <x:c r="C256" t="str">
        <x:f>TRIM(B256)</x:f>
        <x:v>R04</x:v>
      </x:c>
      <x:c r="D256" t="str">
        <x:v>Khách hàng 255</x:v>
      </x:c>
      <x:c r="E256" s="12" t="n">
        <x:f>IFERROR(VLOOKUP(C256,BangGia!$A$2:$D$7,4,FALSE),"Chưa có giá")</x:f>
        <x:v>52000</x:v>
      </x:c>
      <x:c r="F256" t="str">
        <x:v>Có</x:v>
      </x:c>
      <x:c r="G256" t="n">
        <x:v>50</x:v>
      </x:c>
    </x:row>
    <x:row r="257">
      <x:c r="A257" t="str">
        <x:v>VD0256</x:v>
      </x:c>
      <x:c r="B257" t="str">
        <x:v>R05</x:v>
      </x:c>
      <x:c r="C257" t="str">
        <x:f>TRIM(B257)</x:f>
        <x:v>R05</x:v>
      </x:c>
      <x:c r="D257" t="str">
        <x:v>Khách hàng 256</x:v>
      </x:c>
      <x:c r="E257" s="12" t="n">
        <x:f>IFERROR(VLOOKUP(C257,BangGia!$A$2:$D$7,4,FALSE),"Chưa có giá")</x:f>
        <x:v>30000</x:v>
      </x:c>
      <x:c r="F257" t="str">
        <x:v>Có</x:v>
      </x:c>
      <x:c r="G257" t="n">
        <x:v>63</x:v>
      </x:c>
    </x:row>
    <x:row r="258">
      <x:c r="A258" t="str">
        <x:v>VD0257</x:v>
      </x:c>
      <x:c r="B258" t="str">
        <x:v>R06</x:v>
      </x:c>
      <x:c r="C258" t="str">
        <x:f>TRIM(B258)</x:f>
        <x:v>R06</x:v>
      </x:c>
      <x:c r="D258" t="str">
        <x:v>Khách hàng 257</x:v>
      </x:c>
      <x:c r="E258" s="12" t="n">
        <x:f>IFERROR(VLOOKUP(C258,BangGia!$A$2:$D$7,4,FALSE),"Chưa có giá")</x:f>
        <x:v>42000</x:v>
      </x:c>
      <x:c r="F258" t="str">
        <x:v>Có</x:v>
      </x:c>
      <x:c r="G258" t="n">
        <x:v>76</x:v>
      </x:c>
    </x:row>
    <x:row r="259">
      <x:c r="A259" t="str">
        <x:v>VD0258</x:v>
      </x:c>
      <x:c r="B259" t="str">
        <x:v>R01</x:v>
      </x:c>
      <x:c r="C259" t="str">
        <x:f>TRIM(B259)</x:f>
        <x:v>R01</x:v>
      </x:c>
      <x:c r="D259" t="str">
        <x:v>Khách hàng 258</x:v>
      </x:c>
      <x:c r="E259" s="12" t="n">
        <x:f>IFERROR(VLOOKUP(C259,BangGia!$A$2:$D$7,4,FALSE),"Chưa có giá")</x:f>
        <x:v>22000</x:v>
      </x:c>
      <x:c r="F259" t="str">
        <x:v>Có</x:v>
      </x:c>
      <x:c r="G259" t="n">
        <x:v>89</x:v>
      </x:c>
    </x:row>
    <x:row r="260">
      <x:c r="A260" t="str">
        <x:v>VD0259</x:v>
      </x:c>
      <x:c r="B260" t="str">
        <x:v>R02</x:v>
      </x:c>
      <x:c r="C260" t="str">
        <x:f>TRIM(B260)</x:f>
        <x:v>R02</x:v>
      </x:c>
      <x:c r="D260" t="str">
        <x:v>Khách hàng 259</x:v>
      </x:c>
      <x:c r="E260" s="12" t="n">
        <x:f>IFERROR(VLOOKUP(C260,BangGia!$A$2:$D$7,4,FALSE),"Chưa có giá")</x:f>
        <x:v>45000</x:v>
      </x:c>
      <x:c r="F260" t="str">
        <x:v>Có</x:v>
      </x:c>
      <x:c r="G260" t="n">
        <x:v>102</x:v>
      </x:c>
    </x:row>
    <x:row r="261">
      <x:c r="A261" t="str">
        <x:v>VD0260</x:v>
      </x:c>
      <x:c r="B261" t="str">
        <x:v>R03</x:v>
      </x:c>
      <x:c r="C261" t="str">
        <x:f>TRIM(B261)</x:f>
        <x:v>R03</x:v>
      </x:c>
      <x:c r="D261" t="str">
        <x:v>Khách hàng 260</x:v>
      </x:c>
      <x:c r="E261" s="12" t="n">
        <x:f>IFERROR(VLOOKUP(C261,BangGia!$A$2:$D$7,4,FALSE),"Chưa có giá")</x:f>
        <x:v>38000</x:v>
      </x:c>
      <x:c r="F261" t="str">
        <x:v>Có</x:v>
      </x:c>
      <x:c r="G261" t="n">
        <x:v>115</x:v>
      </x:c>
    </x:row>
    <x:row r="262">
      <x:c r="A262" t="str">
        <x:v>VD0261</x:v>
      </x:c>
      <x:c r="B262" t="str">
        <x:v>R04</x:v>
      </x:c>
      <x:c r="C262" t="str">
        <x:f>TRIM(B262)</x:f>
        <x:v>R04</x:v>
      </x:c>
      <x:c r="D262" t="str">
        <x:v>Khách hàng 261</x:v>
      </x:c>
      <x:c r="E262" s="12" t="n">
        <x:f>IFERROR(VLOOKUP(C262,BangGia!$A$2:$D$7,4,FALSE),"Chưa có giá")</x:f>
        <x:v>52000</x:v>
      </x:c>
      <x:c r="F262" t="str">
        <x:v>Không</x:v>
      </x:c>
      <x:c r="G262" t="n">
        <x:v>128</x:v>
      </x:c>
    </x:row>
    <x:row r="263">
      <x:c r="A263" t="str">
        <x:v>VD0262</x:v>
      </x:c>
      <x:c r="B263" t="str">
        <x:v>R05</x:v>
      </x:c>
      <x:c r="C263" t="str">
        <x:f>TRIM(B263)</x:f>
        <x:v>R05</x:v>
      </x:c>
      <x:c r="D263" t="str">
        <x:v>Khách hàng 262</x:v>
      </x:c>
      <x:c r="E263" s="12" t="n">
        <x:f>IFERROR(VLOOKUP(C263,BangGia!$A$2:$D$7,4,FALSE),"Chưa có giá")</x:f>
        <x:v>30000</x:v>
      </x:c>
      <x:c r="F263" t="str">
        <x:v>Có</x:v>
      </x:c>
      <x:c r="G263" t="n">
        <x:v>141</x:v>
      </x:c>
    </x:row>
    <x:row r="264">
      <x:c r="A264" t="str">
        <x:v>VD0263</x:v>
      </x:c>
      <x:c r="B264" t="str">
        <x:v>R06</x:v>
      </x:c>
      <x:c r="C264" t="str">
        <x:f>TRIM(B264)</x:f>
        <x:v>R06</x:v>
      </x:c>
      <x:c r="D264" t="str">
        <x:v>Khách hàng 263</x:v>
      </x:c>
      <x:c r="E264" s="12" t="n">
        <x:f>IFERROR(VLOOKUP(C264,BangGia!$A$2:$D$7,4,FALSE),"Chưa có giá")</x:f>
        <x:v>42000</x:v>
      </x:c>
      <x:c r="F264" t="str">
        <x:v>Có</x:v>
      </x:c>
      <x:c r="G264" t="n">
        <x:v>154</x:v>
      </x:c>
    </x:row>
    <x:row r="265">
      <x:c r="A265" t="str">
        <x:v>VD0264</x:v>
      </x:c>
      <x:c r="B265" t="str">
        <x:v>R01</x:v>
      </x:c>
      <x:c r="C265" t="str">
        <x:f>TRIM(B265)</x:f>
        <x:v>R01</x:v>
      </x:c>
      <x:c r="D265" t="str">
        <x:v>Khách hàng 264</x:v>
      </x:c>
      <x:c r="E265" s="12" t="n">
        <x:f>IFERROR(VLOOKUP(C265,BangGia!$A$2:$D$7,4,FALSE),"Chưa có giá")</x:f>
        <x:v>22000</x:v>
      </x:c>
      <x:c r="F265" t="str">
        <x:v>Có</x:v>
      </x:c>
      <x:c r="G265" t="n">
        <x:v>167</x:v>
      </x:c>
    </x:row>
    <x:row r="266">
      <x:c r="A266" t="str">
        <x:v>VD0265</x:v>
      </x:c>
      <x:c r="B266" t="str">
        <x:v>R02</x:v>
      </x:c>
      <x:c r="C266" t="str">
        <x:f>TRIM(B266)</x:f>
        <x:v>R02</x:v>
      </x:c>
      <x:c r="D266" t="str">
        <x:v>Khách hàng 265</x:v>
      </x:c>
      <x:c r="E266" s="12" t="n">
        <x:f>IFERROR(VLOOKUP(C266,BangGia!$A$2:$D$7,4,FALSE),"Chưa có giá")</x:f>
        <x:v>45000</x:v>
      </x:c>
      <x:c r="F266" t="str">
        <x:v>Có</x:v>
      </x:c>
      <x:c r="G266" t="n">
        <x:v>180</x:v>
      </x:c>
    </x:row>
    <x:row r="267">
      <x:c r="A267" t="str">
        <x:v>VD0266</x:v>
      </x:c>
      <x:c r="B267" t="str">
        <x:v>R03</x:v>
      </x:c>
      <x:c r="C267" t="str">
        <x:f>TRIM(B267)</x:f>
        <x:v>R03</x:v>
      </x:c>
      <x:c r="D267" t="str">
        <x:v>Khách hàng 266</x:v>
      </x:c>
      <x:c r="E267" s="12" t="n">
        <x:f>IFERROR(VLOOKUP(C267,BangGia!$A$2:$D$7,4,FALSE),"Chưa có giá")</x:f>
        <x:v>38000</x:v>
      </x:c>
      <x:c r="F267" t="str">
        <x:v>Có</x:v>
      </x:c>
      <x:c r="G267" t="n">
        <x:v>43</x:v>
      </x:c>
    </x:row>
    <x:row r="268">
      <x:c r="A268" t="str">
        <x:v>VD0267</x:v>
      </x:c>
      <x:c r="B268" t="str">
        <x:v>R04</x:v>
      </x:c>
      <x:c r="C268" t="str">
        <x:f>TRIM(B268)</x:f>
        <x:v>R04</x:v>
      </x:c>
      <x:c r="D268" t="str">
        <x:v>Khách hàng 267</x:v>
      </x:c>
      <x:c r="E268" s="12" t="n">
        <x:f>IFERROR(VLOOKUP(C268,BangGia!$A$2:$D$7,4,FALSE),"Chưa có giá")</x:f>
        <x:v>52000</x:v>
      </x:c>
      <x:c r="F268" t="str">
        <x:v>Có</x:v>
      </x:c>
      <x:c r="G268" t="n">
        <x:v>56</x:v>
      </x:c>
    </x:row>
    <x:row r="269">
      <x:c r="A269" t="str">
        <x:v>VD0268</x:v>
      </x:c>
      <x:c r="B269" t="str">
        <x:v>R05</x:v>
      </x:c>
      <x:c r="C269" t="str">
        <x:f>TRIM(B269)</x:f>
        <x:v>R05</x:v>
      </x:c>
      <x:c r="D269" t="str">
        <x:v>Khách hàng 268</x:v>
      </x:c>
      <x:c r="E269" s="12" t="n">
        <x:f>IFERROR(VLOOKUP(C269,BangGia!$A$2:$D$7,4,FALSE),"Chưa có giá")</x:f>
        <x:v>30000</x:v>
      </x:c>
      <x:c r="F269" t="str">
        <x:v>Có</x:v>
      </x:c>
      <x:c r="G269" t="n">
        <x:v>69</x:v>
      </x:c>
    </x:row>
    <x:row r="270">
      <x:c r="A270" t="str">
        <x:v>VD0269</x:v>
      </x:c>
      <x:c r="B270" t="str">
        <x:v>R06</x:v>
      </x:c>
      <x:c r="C270" t="str">
        <x:f>TRIM(B270)</x:f>
        <x:v>R06</x:v>
      </x:c>
      <x:c r="D270" t="str">
        <x:v>Khách hàng 269</x:v>
      </x:c>
      <x:c r="E270" s="12" t="n">
        <x:f>IFERROR(VLOOKUP(C270,BangGia!$A$2:$D$7,4,FALSE),"Chưa có giá")</x:f>
        <x:v>42000</x:v>
      </x:c>
      <x:c r="F270" t="str">
        <x:v>Có</x:v>
      </x:c>
      <x:c r="G270" t="n">
        <x:v>82</x:v>
      </x:c>
    </x:row>
    <x:row r="271">
      <x:c r="A271" t="str">
        <x:v>VD0270</x:v>
      </x:c>
      <x:c r="B271" t="str">
        <x:v>R01</x:v>
      </x:c>
      <x:c r="C271" t="str">
        <x:f>TRIM(B271)</x:f>
        <x:v>R01</x:v>
      </x:c>
      <x:c r="D271" t="str">
        <x:v>Khách hàng 270</x:v>
      </x:c>
      <x:c r="E271" s="12" t="n">
        <x:f>IFERROR(VLOOKUP(C271,BangGia!$A$2:$D$7,4,FALSE),"Chưa có giá")</x:f>
        <x:v>22000</x:v>
      </x:c>
      <x:c r="F271" t="str">
        <x:v>Không</x:v>
      </x:c>
      <x:c r="G271" t="n">
        <x:v>95</x:v>
      </x:c>
    </x:row>
    <x:row r="272">
      <x:c r="A272" t="str">
        <x:v>VD0271</x:v>
      </x:c>
      <x:c r="B272" t="str">
        <x:v>R02</x:v>
      </x:c>
      <x:c r="C272" t="str">
        <x:f>TRIM(B272)</x:f>
        <x:v>R02</x:v>
      </x:c>
      <x:c r="D272" t="str">
        <x:v>Khách hàng 271</x:v>
      </x:c>
      <x:c r="E272" s="12" t="n">
        <x:f>IFERROR(VLOOKUP(C272,BangGia!$A$2:$D$7,4,FALSE),"Chưa có giá")</x:f>
        <x:v>45000</x:v>
      </x:c>
      <x:c r="F272" t="str">
        <x:v>Có</x:v>
      </x:c>
      <x:c r="G272" t="n">
        <x:v>108</x:v>
      </x:c>
    </x:row>
    <x:row r="273">
      <x:c r="A273" t="str">
        <x:v>VD0272</x:v>
      </x:c>
      <x:c r="B273" t="str">
        <x:v>R03</x:v>
      </x:c>
      <x:c r="C273" t="str">
        <x:f>TRIM(B273)</x:f>
        <x:v>R03</x:v>
      </x:c>
      <x:c r="D273" t="str">
        <x:v>Khách hàng 272</x:v>
      </x:c>
      <x:c r="E273" s="12" t="n">
        <x:f>IFERROR(VLOOKUP(C273,BangGia!$A$2:$D$7,4,FALSE),"Chưa có giá")</x:f>
        <x:v>38000</x:v>
      </x:c>
      <x:c r="F273" t="str">
        <x:v>Có</x:v>
      </x:c>
      <x:c r="G273" t="n">
        <x:v>121</x:v>
      </x:c>
    </x:row>
    <x:row r="274">
      <x:c r="A274" t="str">
        <x:v>VD0273</x:v>
      </x:c>
      <x:c r="B274" t="str">
        <x:v>R04</x:v>
      </x:c>
      <x:c r="C274" t="str">
        <x:f>TRIM(B274)</x:f>
        <x:v>R04</x:v>
      </x:c>
      <x:c r="D274" t="str">
        <x:v>Khách hàng 273</x:v>
      </x:c>
      <x:c r="E274" s="12" t="n">
        <x:f>IFERROR(VLOOKUP(C274,BangGia!$A$2:$D$7,4,FALSE),"Chưa có giá")</x:f>
        <x:v>52000</x:v>
      </x:c>
      <x:c r="F274" t="str">
        <x:v>Có</x:v>
      </x:c>
      <x:c r="G274" t="n">
        <x:v>134</x:v>
      </x:c>
    </x:row>
    <x:row r="275">
      <x:c r="A275" t="str">
        <x:v>VD0274</x:v>
      </x:c>
      <x:c r="B275" t="str">
        <x:v>R05</x:v>
      </x:c>
      <x:c r="C275" t="str">
        <x:f>TRIM(B275)</x:f>
        <x:v>R05</x:v>
      </x:c>
      <x:c r="D275" t="str">
        <x:v>Khách hàng 274</x:v>
      </x:c>
      <x:c r="E275" s="12" t="n">
        <x:f>IFERROR(VLOOKUP(C275,BangGia!$A$2:$D$7,4,FALSE),"Chưa có giá")</x:f>
        <x:v>30000</x:v>
      </x:c>
      <x:c r="F275" t="str">
        <x:v>Có</x:v>
      </x:c>
      <x:c r="G275" t="n">
        <x:v>147</x:v>
      </x:c>
    </x:row>
    <x:row r="276">
      <x:c r="A276" t="str">
        <x:v>VD0275</x:v>
      </x:c>
      <x:c r="B276" t="str">
        <x:v>R06</x:v>
      </x:c>
      <x:c r="C276" t="str">
        <x:f>TRIM(B276)</x:f>
        <x:v>R06</x:v>
      </x:c>
      <x:c r="D276" t="str">
        <x:v>Khách hàng 275</x:v>
      </x:c>
      <x:c r="E276" s="12" t="n">
        <x:f>IFERROR(VLOOKUP(C276,BangGia!$A$2:$D$7,4,FALSE),"Chưa có giá")</x:f>
        <x:v>42000</x:v>
      </x:c>
      <x:c r="F276" t="str">
        <x:v>Có</x:v>
      </x:c>
      <x:c r="G276" t="n">
        <x:v>160</x:v>
      </x:c>
    </x:row>
    <x:row r="277">
      <x:c r="A277" t="str">
        <x:v>VD0276</x:v>
      </x:c>
      <x:c r="B277" t="str">
        <x:v>R01</x:v>
      </x:c>
      <x:c r="C277" t="str">
        <x:f>TRIM(B277)</x:f>
        <x:v>R01</x:v>
      </x:c>
      <x:c r="D277" t="str">
        <x:v>Khách hàng 276</x:v>
      </x:c>
      <x:c r="E277" s="12" t="n">
        <x:f>IFERROR(VLOOKUP(C277,BangGia!$A$2:$D$7,4,FALSE),"Chưa có giá")</x:f>
        <x:v>22000</x:v>
      </x:c>
      <x:c r="F277" t="str">
        <x:v>Có</x:v>
      </x:c>
      <x:c r="G277" t="n">
        <x:v>173</x:v>
      </x:c>
    </x:row>
    <x:row r="278">
      <x:c r="A278" t="str">
        <x:v>VD0277</x:v>
      </x:c>
      <x:c r="B278" t="str">
        <x:v>R02</x:v>
      </x:c>
      <x:c r="C278" t="str">
        <x:f>TRIM(B278)</x:f>
        <x:v>R02</x:v>
      </x:c>
      <x:c r="D278" t="str">
        <x:v>Khách hàng 277</x:v>
      </x:c>
      <x:c r="E278" s="12" t="n">
        <x:f>IFERROR(VLOOKUP(C278,BangGia!$A$2:$D$7,4,FALSE),"Chưa có giá")</x:f>
        <x:v>45000</x:v>
      </x:c>
      <x:c r="F278" t="str">
        <x:v>Có</x:v>
      </x:c>
      <x:c r="G278" t="n">
        <x:v>36</x:v>
      </x:c>
    </x:row>
    <x:row r="279">
      <x:c r="A279" t="str">
        <x:v>VD0278</x:v>
      </x:c>
      <x:c r="B279" t="str">
        <x:v>R03</x:v>
      </x:c>
      <x:c r="C279" t="str">
        <x:f>TRIM(B279)</x:f>
        <x:v>R03</x:v>
      </x:c>
      <x:c r="D279" t="str">
        <x:v>Khách hàng 278</x:v>
      </x:c>
      <x:c r="E279" s="12" t="n">
        <x:f>IFERROR(VLOOKUP(C279,BangGia!$A$2:$D$7,4,FALSE),"Chưa có giá")</x:f>
        <x:v>38000</x:v>
      </x:c>
      <x:c r="F279" t="str">
        <x:v>Có</x:v>
      </x:c>
      <x:c r="G279" t="n">
        <x:v>49</x:v>
      </x:c>
    </x:row>
    <x:row r="280">
      <x:c r="A280" t="str">
        <x:v>VD0279</x:v>
      </x:c>
      <x:c r="B280" t="str">
        <x:v>R04</x:v>
      </x:c>
      <x:c r="C280" t="str">
        <x:f>TRIM(B280)</x:f>
        <x:v>R04</x:v>
      </x:c>
      <x:c r="D280" t="str">
        <x:v>Khách hàng 279</x:v>
      </x:c>
      <x:c r="E280" s="12" t="n">
        <x:f>IFERROR(VLOOKUP(C280,BangGia!$A$2:$D$7,4,FALSE),"Chưa có giá")</x:f>
        <x:v>52000</x:v>
      </x:c>
      <x:c r="F280" t="str">
        <x:v>Không</x:v>
      </x:c>
      <x:c r="G280" t="n">
        <x:v>62</x:v>
      </x:c>
    </x:row>
    <x:row r="281">
      <x:c r="A281" t="str">
        <x:v>VD0280</x:v>
      </x:c>
      <x:c r="B281" t="str">
        <x:v>R05</x:v>
      </x:c>
      <x:c r="C281" t="str">
        <x:f>TRIM(B281)</x:f>
        <x:v>R05</x:v>
      </x:c>
      <x:c r="D281" t="str">
        <x:v>Khách hàng 280</x:v>
      </x:c>
      <x:c r="E281" s="12" t="n">
        <x:f>IFERROR(VLOOKUP(C281,BangGia!$A$2:$D$7,4,FALSE),"Chưa có giá")</x:f>
        <x:v>30000</x:v>
      </x:c>
      <x:c r="F281" t="str">
        <x:v>Có</x:v>
      </x:c>
      <x:c r="G281" t="n">
        <x:v>75</x:v>
      </x:c>
    </x:row>
    <x:row r="282">
      <x:c r="A282" t="str">
        <x:v>VD0281</x:v>
      </x:c>
      <x:c r="B282" t="str">
        <x:v>R06</x:v>
      </x:c>
      <x:c r="C282" t="str">
        <x:f>TRIM(B282)</x:f>
        <x:v>R06</x:v>
      </x:c>
      <x:c r="D282" t="str">
        <x:v>Khách hàng 281</x:v>
      </x:c>
      <x:c r="E282" s="12" t="n">
        <x:f>IFERROR(VLOOKUP(C282,BangGia!$A$2:$D$7,4,FALSE),"Chưa có giá")</x:f>
        <x:v>42000</x:v>
      </x:c>
      <x:c r="F282" t="str">
        <x:v>Có</x:v>
      </x:c>
      <x:c r="G282" t="n">
        <x:v>88</x:v>
      </x:c>
    </x:row>
    <x:row r="283">
      <x:c r="A283" t="str">
        <x:v>VD0282</x:v>
      </x:c>
      <x:c r="B283" t="str">
        <x:v>R01</x:v>
      </x:c>
      <x:c r="C283" t="str">
        <x:f>TRIM(B283)</x:f>
        <x:v>R01</x:v>
      </x:c>
      <x:c r="D283" t="str">
        <x:v>Khách hàng 282</x:v>
      </x:c>
      <x:c r="E283" s="12" t="n">
        <x:f>IFERROR(VLOOKUP(C283,BangGia!$A$2:$D$7,4,FALSE),"Chưa có giá")</x:f>
        <x:v>22000</x:v>
      </x:c>
      <x:c r="F283" t="str">
        <x:v>Có</x:v>
      </x:c>
      <x:c r="G283" t="n">
        <x:v>101</x:v>
      </x:c>
    </x:row>
    <x:row r="284">
      <x:c r="A284" t="str">
        <x:v>VD0283</x:v>
      </x:c>
      <x:c r="B284" t="str">
        <x:v>R02</x:v>
      </x:c>
      <x:c r="C284" t="str">
        <x:f>TRIM(B284)</x:f>
        <x:v>R02</x:v>
      </x:c>
      <x:c r="D284" t="str">
        <x:v>Khách hàng 283</x:v>
      </x:c>
      <x:c r="E284" s="12" t="n">
        <x:f>IFERROR(VLOOKUP(C284,BangGia!$A$2:$D$7,4,FALSE),"Chưa có giá")</x:f>
        <x:v>45000</x:v>
      </x:c>
      <x:c r="F284" t="str">
        <x:v>Có</x:v>
      </x:c>
      <x:c r="G284" t="n">
        <x:v>114</x:v>
      </x:c>
    </x:row>
    <x:row r="285">
      <x:c r="A285" t="str">
        <x:v>VD0284</x:v>
      </x:c>
      <x:c r="B285" t="str">
        <x:v>R03</x:v>
      </x:c>
      <x:c r="C285" t="str">
        <x:f>TRIM(B285)</x:f>
        <x:v>R03</x:v>
      </x:c>
      <x:c r="D285" t="str">
        <x:v>Khách hàng 284</x:v>
      </x:c>
      <x:c r="E285" s="12" t="n">
        <x:f>IFERROR(VLOOKUP(C285,BangGia!$A$2:$D$7,4,FALSE),"Chưa có giá")</x:f>
        <x:v>38000</x:v>
      </x:c>
      <x:c r="F285" t="str">
        <x:v>Có</x:v>
      </x:c>
      <x:c r="G285" t="n">
        <x:v>127</x:v>
      </x:c>
    </x:row>
    <x:row r="286">
      <x:c r="A286" t="str">
        <x:v>VD0285</x:v>
      </x:c>
      <x:c r="B286" t="str">
        <x:v>R04</x:v>
      </x:c>
      <x:c r="C286" t="str">
        <x:f>TRIM(B286)</x:f>
        <x:v>R04</x:v>
      </x:c>
      <x:c r="D286" t="str">
        <x:v>Khách hàng 285</x:v>
      </x:c>
      <x:c r="E286" s="12" t="n">
        <x:f>IFERROR(VLOOKUP(C286,BangGia!$A$2:$D$7,4,FALSE),"Chưa có giá")</x:f>
        <x:v>52000</x:v>
      </x:c>
      <x:c r="F286" t="str">
        <x:v>Có</x:v>
      </x:c>
      <x:c r="G286" t="n">
        <x:v>140</x:v>
      </x:c>
    </x:row>
    <x:row r="287">
      <x:c r="A287" t="str">
        <x:v>VD0286</x:v>
      </x:c>
      <x:c r="B287" t="str">
        <x:v>R05</x:v>
      </x:c>
      <x:c r="C287" t="str">
        <x:f>TRIM(B287)</x:f>
        <x:v>R05</x:v>
      </x:c>
      <x:c r="D287" t="str">
        <x:v>Khách hàng 286</x:v>
      </x:c>
      <x:c r="E287" s="12" t="n">
        <x:f>IFERROR(VLOOKUP(C287,BangGia!$A$2:$D$7,4,FALSE),"Chưa có giá")</x:f>
        <x:v>30000</x:v>
      </x:c>
      <x:c r="F287" t="str">
        <x:v>Có</x:v>
      </x:c>
      <x:c r="G287" t="n">
        <x:v>153</x:v>
      </x:c>
    </x:row>
    <x:row r="288">
      <x:c r="A288" t="str">
        <x:v>VD0287</x:v>
      </x:c>
      <x:c r="B288" t="str">
        <x:v>R06 </x:v>
      </x:c>
      <x:c r="C288" t="str">
        <x:f>TRIM(B288)</x:f>
        <x:v>R06</x:v>
      </x:c>
      <x:c r="D288" t="str">
        <x:v>Khách hàng 287</x:v>
      </x:c>
      <x:c r="E288" s="12" t="n">
        <x:f>IFERROR(VLOOKUP(C288,BangGia!$A$2:$D$7,4,FALSE),"Chưa có giá")</x:f>
        <x:v>42000</x:v>
      </x:c>
      <x:c r="F288" t="str">
        <x:v>Có</x:v>
      </x:c>
      <x:c r="G288" t="n">
        <x:v>166</x:v>
      </x:c>
    </x:row>
    <x:row r="289">
      <x:c r="A289" t="str">
        <x:v>VD0288</x:v>
      </x:c>
      <x:c r="B289" t="str">
        <x:v>R01</x:v>
      </x:c>
      <x:c r="C289" t="str">
        <x:f>TRIM(B289)</x:f>
        <x:v>R01</x:v>
      </x:c>
      <x:c r="D289" t="str">
        <x:v>Khách hàng 288</x:v>
      </x:c>
      <x:c r="E289" s="12" t="n">
        <x:f>IFERROR(VLOOKUP(C289,BangGia!$A$2:$D$7,4,FALSE),"Chưa có giá")</x:f>
        <x:v>22000</x:v>
      </x:c>
      <x:c r="F289" t="str">
        <x:v>Không</x:v>
      </x:c>
      <x:c r="G289" t="n">
        <x:v>179</x:v>
      </x:c>
    </x:row>
    <x:row r="290">
      <x:c r="A290" t="str">
        <x:v>VD0289</x:v>
      </x:c>
      <x:c r="B290" t="str">
        <x:v>R02</x:v>
      </x:c>
      <x:c r="C290" t="str">
        <x:f>TRIM(B290)</x:f>
        <x:v>R02</x:v>
      </x:c>
      <x:c r="D290" t="str">
        <x:v>Khách hàng 289</x:v>
      </x:c>
      <x:c r="E290" s="12" t="n">
        <x:f>IFERROR(VLOOKUP(C290,BangGia!$A$2:$D$7,4,FALSE),"Chưa có giá")</x:f>
        <x:v>45000</x:v>
      </x:c>
      <x:c r="F290" t="str">
        <x:v>Có</x:v>
      </x:c>
      <x:c r="G290" t="n">
        <x:v>42</x:v>
      </x:c>
    </x:row>
    <x:row r="291">
      <x:c r="A291" t="str">
        <x:v>VD0290</x:v>
      </x:c>
      <x:c r="B291" t="str">
        <x:v>R03</x:v>
      </x:c>
      <x:c r="C291" t="str">
        <x:f>TRIM(B291)</x:f>
        <x:v>R03</x:v>
      </x:c>
      <x:c r="D291" t="str">
        <x:v>Khách hàng 290</x:v>
      </x:c>
      <x:c r="E291" s="12" t="n">
        <x:f>IFERROR(VLOOKUP(C291,BangGia!$A$2:$D$7,4,FALSE),"Chưa có giá")</x:f>
        <x:v>38000</x:v>
      </x:c>
      <x:c r="F291" t="str">
        <x:v>Có</x:v>
      </x:c>
      <x:c r="G291" t="n">
        <x:v>55</x:v>
      </x:c>
    </x:row>
    <x:row r="292">
      <x:c r="A292" t="str">
        <x:v>VD0291</x:v>
      </x:c>
      <x:c r="B292" t="str">
        <x:v>R04</x:v>
      </x:c>
      <x:c r="C292" t="str">
        <x:f>TRIM(B292)</x:f>
        <x:v>R04</x:v>
      </x:c>
      <x:c r="D292" t="str">
        <x:v>Khách hàng 291</x:v>
      </x:c>
      <x:c r="E292" s="12" t="n">
        <x:f>IFERROR(VLOOKUP(C292,BangGia!$A$2:$D$7,4,FALSE),"Chưa có giá")</x:f>
        <x:v>52000</x:v>
      </x:c>
      <x:c r="F292" t="str">
        <x:v>Có</x:v>
      </x:c>
      <x:c r="G292" t="n">
        <x:v>68</x:v>
      </x:c>
    </x:row>
    <x:row r="293">
      <x:c r="A293" t="str">
        <x:v>VD0292</x:v>
      </x:c>
      <x:c r="B293" t="str">
        <x:v>R05</x:v>
      </x:c>
      <x:c r="C293" t="str">
        <x:f>TRIM(B293)</x:f>
        <x:v>R05</x:v>
      </x:c>
      <x:c r="D293" t="str">
        <x:v>Khách hàng 292</x:v>
      </x:c>
      <x:c r="E293" s="12" t="n">
        <x:f>IFERROR(VLOOKUP(C293,BangGia!$A$2:$D$7,4,FALSE),"Chưa có giá")</x:f>
        <x:v>30000</x:v>
      </x:c>
      <x:c r="F293" t="str">
        <x:v>Có</x:v>
      </x:c>
      <x:c r="G293" t="n">
        <x:v>81</x:v>
      </x:c>
    </x:row>
    <x:row r="294">
      <x:c r="A294" t="str">
        <x:v>VD0293</x:v>
      </x:c>
      <x:c r="B294" t="str">
        <x:v>R06</x:v>
      </x:c>
      <x:c r="C294" t="str">
        <x:f>TRIM(B294)</x:f>
        <x:v>R06</x:v>
      </x:c>
      <x:c r="D294" t="str">
        <x:v>Khách hàng 293</x:v>
      </x:c>
      <x:c r="E294" s="12" t="n">
        <x:f>IFERROR(VLOOKUP(C294,BangGia!$A$2:$D$7,4,FALSE),"Chưa có giá")</x:f>
        <x:v>42000</x:v>
      </x:c>
      <x:c r="F294" t="str">
        <x:v>Có</x:v>
      </x:c>
      <x:c r="G294" t="n">
        <x:v>94</x:v>
      </x:c>
    </x:row>
    <x:row r="295">
      <x:c r="A295" t="str">
        <x:v>VD0294</x:v>
      </x:c>
      <x:c r="B295" t="str">
        <x:v>R01</x:v>
      </x:c>
      <x:c r="C295" t="str">
        <x:f>TRIM(B295)</x:f>
        <x:v>R01</x:v>
      </x:c>
      <x:c r="D295" t="str">
        <x:v>Khách hàng 294</x:v>
      </x:c>
      <x:c r="E295" s="12" t="n">
        <x:f>IFERROR(VLOOKUP(C295,BangGia!$A$2:$D$7,4,FALSE),"Chưa có giá")</x:f>
        <x:v>22000</x:v>
      </x:c>
      <x:c r="F295" t="str">
        <x:v>Có</x:v>
      </x:c>
      <x:c r="G295" t="n">
        <x:v>107</x:v>
      </x:c>
    </x:row>
    <x:row r="296">
      <x:c r="A296" t="str">
        <x:v>VD0295</x:v>
      </x:c>
      <x:c r="B296" t="str">
        <x:v>R02</x:v>
      </x:c>
      <x:c r="C296" t="str">
        <x:f>TRIM(B296)</x:f>
        <x:v>R02</x:v>
      </x:c>
      <x:c r="D296" t="str">
        <x:v>Khách hàng 295</x:v>
      </x:c>
      <x:c r="E296" s="12" t="n">
        <x:f>IFERROR(VLOOKUP(C296,BangGia!$A$2:$D$7,4,FALSE),"Chưa có giá")</x:f>
        <x:v>45000</x:v>
      </x:c>
      <x:c r="F296" t="str">
        <x:v>Có</x:v>
      </x:c>
      <x:c r="G296" t="n">
        <x:v>120</x:v>
      </x:c>
    </x:row>
    <x:row r="297">
      <x:c r="A297" t="str">
        <x:v>VD0296</x:v>
      </x:c>
      <x:c r="B297" t="str">
        <x:v>R03</x:v>
      </x:c>
      <x:c r="C297" t="str">
        <x:f>TRIM(B297)</x:f>
        <x:v>R03</x:v>
      </x:c>
      <x:c r="D297" t="str">
        <x:v>Khách hàng 296</x:v>
      </x:c>
      <x:c r="E297" s="12" t="n">
        <x:f>IFERROR(VLOOKUP(C297,BangGia!$A$2:$D$7,4,FALSE),"Chưa có giá")</x:f>
        <x:v>38000</x:v>
      </x:c>
      <x:c r="F297" t="str">
        <x:v>Có</x:v>
      </x:c>
      <x:c r="G297" t="n">
        <x:v>133</x:v>
      </x:c>
    </x:row>
    <x:row r="298">
      <x:c r="A298" t="str">
        <x:v>VD0297</x:v>
      </x:c>
      <x:c r="B298" t="str">
        <x:v>R04</x:v>
      </x:c>
      <x:c r="C298" t="str">
        <x:f>TRIM(B298)</x:f>
        <x:v>R04</x:v>
      </x:c>
      <x:c r="D298" t="str">
        <x:v>Khách hàng 297</x:v>
      </x:c>
      <x:c r="E298" s="12" t="n">
        <x:f>IFERROR(VLOOKUP(C298,BangGia!$A$2:$D$7,4,FALSE),"Chưa có giá")</x:f>
        <x:v>52000</x:v>
      </x:c>
      <x:c r="F298" t="str">
        <x:v>Không</x:v>
      </x:c>
      <x:c r="G298" t="n">
        <x:v>146</x:v>
      </x:c>
    </x:row>
    <x:row r="299">
      <x:c r="A299" t="str">
        <x:v>VD0298</x:v>
      </x:c>
      <x:c r="B299" t="str">
        <x:v>R05</x:v>
      </x:c>
      <x:c r="C299" t="str">
        <x:f>TRIM(B299)</x:f>
        <x:v>R05</x:v>
      </x:c>
      <x:c r="D299" t="str">
        <x:v>Khách hàng 298</x:v>
      </x:c>
      <x:c r="E299" s="12" t="n">
        <x:f>IFERROR(VLOOKUP(C299,BangGia!$A$2:$D$7,4,FALSE),"Chưa có giá")</x:f>
        <x:v>30000</x:v>
      </x:c>
      <x:c r="F299" t="str">
        <x:v>Có</x:v>
      </x:c>
      <x:c r="G299" t="n">
        <x:v>159</x:v>
      </x:c>
    </x:row>
    <x:row r="300">
      <x:c r="A300" t="str">
        <x:v>VD0299</x:v>
      </x:c>
      <x:c r="B300" t="str">
        <x:v>R06</x:v>
      </x:c>
      <x:c r="C300" t="str">
        <x:f>TRIM(B300)</x:f>
        <x:v>R06</x:v>
      </x:c>
      <x:c r="D300" t="str">
        <x:v>Khách hàng 299</x:v>
      </x:c>
      <x:c r="E300" s="12" t="n">
        <x:f>IFERROR(VLOOKUP(C300,BangGia!$A$2:$D$7,4,FALSE),"Chưa có giá")</x:f>
        <x:v>42000</x:v>
      </x:c>
      <x:c r="F300" t="str">
        <x:v>Có</x:v>
      </x:c>
      <x:c r="G300" t="n">
        <x:v>172</x:v>
      </x:c>
    </x:row>
    <x:row r="301">
      <x:c r="A301" t="str">
        <x:v>VD0300</x:v>
      </x:c>
      <x:c r="B301" t="str">
        <x:v>R01</x:v>
      </x:c>
      <x:c r="C301" t="str">
        <x:f>TRIM(B301)</x:f>
        <x:v>R01</x:v>
      </x:c>
      <x:c r="D301" t="str">
        <x:v>Khách hàng 300</x:v>
      </x:c>
      <x:c r="E301" s="12" t="n">
        <x:f>IFERROR(VLOOKUP(C301,BangGia!$A$2:$D$7,4,FALSE),"Chưa có giá")</x:f>
        <x:v>22000</x:v>
      </x:c>
      <x:c r="F301" t="str">
        <x:v>Có</x:v>
      </x:c>
      <x:c r="G301" t="n">
        <x:v>35</x:v>
      </x:c>
    </x:row>
    <x:row r="302">
      <x:c r="A302" t="str">
        <x:v>VD0301</x:v>
      </x:c>
      <x:c r="B302" t="str">
        <x:v>R02</x:v>
      </x:c>
      <x:c r="C302" t="str">
        <x:f>TRIM(B302)</x:f>
        <x:v>R02</x:v>
      </x:c>
      <x:c r="D302" t="str">
        <x:v>Khách hàng 301</x:v>
      </x:c>
      <x:c r="E302" s="12" t="n">
        <x:f>IFERROR(VLOOKUP(C302,BangGia!$A$2:$D$7,4,FALSE),"Chưa có giá")</x:f>
        <x:v>45000</x:v>
      </x:c>
      <x:c r="F302" t="str">
        <x:v>Có</x:v>
      </x:c>
      <x:c r="G302" t="n">
        <x:v>48</x:v>
      </x:c>
    </x:row>
    <x:row r="303">
      <x:c r="A303" t="str">
        <x:v>VD0302</x:v>
      </x:c>
      <x:c r="B303" t="str">
        <x:v>R03</x:v>
      </x:c>
      <x:c r="C303" t="str">
        <x:f>TRIM(B303)</x:f>
        <x:v>R03</x:v>
      </x:c>
      <x:c r="D303" t="str">
        <x:v>Khách hàng 302</x:v>
      </x:c>
      <x:c r="E303" s="12" t="n">
        <x:f>IFERROR(VLOOKUP(C303,BangGia!$A$2:$D$7,4,FALSE),"Chưa có giá")</x:f>
        <x:v>38000</x:v>
      </x:c>
      <x:c r="F303" t="str">
        <x:v>Có</x:v>
      </x:c>
      <x:c r="G303" t="n">
        <x:v>61</x:v>
      </x:c>
    </x:row>
    <x:row r="304">
      <x:c r="A304" t="str">
        <x:v>VD0303</x:v>
      </x:c>
      <x:c r="B304" t="str">
        <x:v>R04</x:v>
      </x:c>
      <x:c r="C304" t="str">
        <x:f>TRIM(B304)</x:f>
        <x:v>R04</x:v>
      </x:c>
      <x:c r="D304" t="str">
        <x:v>Khách hàng 303</x:v>
      </x:c>
      <x:c r="E304" s="12" t="n">
        <x:f>IFERROR(VLOOKUP(C304,BangGia!$A$2:$D$7,4,FALSE),"Chưa có giá")</x:f>
        <x:v>52000</x:v>
      </x:c>
      <x:c r="F304" t="str">
        <x:v>Có</x:v>
      </x:c>
      <x:c r="G304" t="n">
        <x:v>74</x:v>
      </x:c>
    </x:row>
    <x:row r="305">
      <x:c r="A305" t="str">
        <x:v>VD0304</x:v>
      </x:c>
      <x:c r="B305" t="str">
        <x:v>R05</x:v>
      </x:c>
      <x:c r="C305" t="str">
        <x:f>TRIM(B305)</x:f>
        <x:v>R05</x:v>
      </x:c>
      <x:c r="D305" t="str">
        <x:v>Khách hàng 304</x:v>
      </x:c>
      <x:c r="E305" s="12" t="n">
        <x:f>IFERROR(VLOOKUP(C305,BangGia!$A$2:$D$7,4,FALSE),"Chưa có giá")</x:f>
        <x:v>30000</x:v>
      </x:c>
      <x:c r="F305" t="str">
        <x:v>Có</x:v>
      </x:c>
      <x:c r="G305" t="n">
        <x:v>87</x:v>
      </x:c>
    </x:row>
    <x:row r="306">
      <x:c r="A306" t="str">
        <x:v>VD0305</x:v>
      </x:c>
      <x:c r="B306" t="str">
        <x:v>R06</x:v>
      </x:c>
      <x:c r="C306" t="str">
        <x:f>TRIM(B306)</x:f>
        <x:v>R06</x:v>
      </x:c>
      <x:c r="D306" t="str">
        <x:v>Khách hàng 305</x:v>
      </x:c>
      <x:c r="E306" s="12" t="n">
        <x:f>IFERROR(VLOOKUP(C306,BangGia!$A$2:$D$7,4,FALSE),"Chưa có giá")</x:f>
        <x:v>42000</x:v>
      </x:c>
      <x:c r="F306" t="str">
        <x:v>Có</x:v>
      </x:c>
      <x:c r="G306" t="n">
        <x:v>100</x:v>
      </x:c>
    </x:row>
    <x:row r="307">
      <x:c r="A307" t="str">
        <x:v>VD0306</x:v>
      </x:c>
      <x:c r="B307" t="str">
        <x:v>R01</x:v>
      </x:c>
      <x:c r="C307" t="str">
        <x:f>TRIM(B307)</x:f>
        <x:v>R01</x:v>
      </x:c>
      <x:c r="D307" t="str">
        <x:v>Khách hàng 306</x:v>
      </x:c>
      <x:c r="E307" s="12" t="n">
        <x:f>IFERROR(VLOOKUP(C307,BangGia!$A$2:$D$7,4,FALSE),"Chưa có giá")</x:f>
        <x:v>22000</x:v>
      </x:c>
      <x:c r="F307" t="str">
        <x:v>Không</x:v>
      </x:c>
      <x:c r="G307" t="n">
        <x:v>113</x:v>
      </x:c>
    </x:row>
    <x:row r="308">
      <x:c r="A308" t="str">
        <x:v>VD0307</x:v>
      </x:c>
      <x:c r="B308" t="str">
        <x:v>R02</x:v>
      </x:c>
      <x:c r="C308" t="str">
        <x:f>TRIM(B308)</x:f>
        <x:v>R02</x:v>
      </x:c>
      <x:c r="D308" t="str">
        <x:v>Khách hàng 307</x:v>
      </x:c>
      <x:c r="E308" s="12" t="n">
        <x:f>IFERROR(VLOOKUP(C308,BangGia!$A$2:$D$7,4,FALSE),"Chưa có giá")</x:f>
        <x:v>45000</x:v>
      </x:c>
      <x:c r="F308" t="str">
        <x:v>Có</x:v>
      </x:c>
      <x:c r="G308" t="n">
        <x:v>126</x:v>
      </x:c>
    </x:row>
    <x:row r="309">
      <x:c r="A309" t="str">
        <x:v>VD0308</x:v>
      </x:c>
      <x:c r="B309" t="str">
        <x:v>R03</x:v>
      </x:c>
      <x:c r="C309" t="str">
        <x:f>TRIM(B309)</x:f>
        <x:v>R03</x:v>
      </x:c>
      <x:c r="D309" t="str">
        <x:v>Khách hàng 308</x:v>
      </x:c>
      <x:c r="E309" s="12" t="n">
        <x:f>IFERROR(VLOOKUP(C309,BangGia!$A$2:$D$7,4,FALSE),"Chưa có giá")</x:f>
        <x:v>38000</x:v>
      </x:c>
      <x:c r="F309" t="str">
        <x:v>Có</x:v>
      </x:c>
      <x:c r="G309" t="n">
        <x:v>139</x:v>
      </x:c>
    </x:row>
    <x:row r="310">
      <x:c r="A310" t="str">
        <x:v>VD0309</x:v>
      </x:c>
      <x:c r="B310" t="str">
        <x:v>R04</x:v>
      </x:c>
      <x:c r="C310" t="str">
        <x:f>TRIM(B310)</x:f>
        <x:v>R04</x:v>
      </x:c>
      <x:c r="D310" t="str">
        <x:v>Khách hàng 309</x:v>
      </x:c>
      <x:c r="E310" s="12" t="n">
        <x:f>IFERROR(VLOOKUP(C310,BangGia!$A$2:$D$7,4,FALSE),"Chưa có giá")</x:f>
        <x:v>52000</x:v>
      </x:c>
      <x:c r="F310" t="str">
        <x:v>Có</x:v>
      </x:c>
      <x:c r="G310" t="n">
        <x:v>152</x:v>
      </x:c>
    </x:row>
    <x:row r="311">
      <x:c r="A311" t="str">
        <x:v>VD0310</x:v>
      </x:c>
      <x:c r="B311" t="str">
        <x:v>R05</x:v>
      </x:c>
      <x:c r="C311" t="str">
        <x:f>TRIM(B311)</x:f>
        <x:v>R05</x:v>
      </x:c>
      <x:c r="D311" t="str">
        <x:v>Khách hàng 310</x:v>
      </x:c>
      <x:c r="E311" s="12" t="n">
        <x:f>IFERROR(VLOOKUP(C311,BangGia!$A$2:$D$7,4,FALSE),"Chưa có giá")</x:f>
        <x:v>30000</x:v>
      </x:c>
      <x:c r="F311" t="str">
        <x:v>Có</x:v>
      </x:c>
      <x:c r="G311" t="n">
        <x:v>165</x:v>
      </x:c>
    </x:row>
    <x:row r="312">
      <x:c r="A312" t="str">
        <x:v>VD0311</x:v>
      </x:c>
      <x:c r="B312" t="str">
        <x:v>R06</x:v>
      </x:c>
      <x:c r="C312" t="str">
        <x:f>TRIM(B312)</x:f>
        <x:v>R06</x:v>
      </x:c>
      <x:c r="D312" t="str">
        <x:v>Khách hàng 311</x:v>
      </x:c>
      <x:c r="E312" s="12" t="n">
        <x:f>IFERROR(VLOOKUP(C312,BangGia!$A$2:$D$7,4,FALSE),"Chưa có giá")</x:f>
        <x:v>42000</x:v>
      </x:c>
      <x:c r="F312" t="str">
        <x:v>Có</x:v>
      </x:c>
      <x:c r="G312" t="n">
        <x:v>178</x:v>
      </x:c>
    </x:row>
    <x:row r="313">
      <x:c r="A313" t="str">
        <x:v>VD0312</x:v>
      </x:c>
      <x:c r="B313" t="str">
        <x:v>R01</x:v>
      </x:c>
      <x:c r="C313" t="str">
        <x:f>TRIM(B313)</x:f>
        <x:v>R01</x:v>
      </x:c>
      <x:c r="D313" t="str">
        <x:v>Khách hàng 312</x:v>
      </x:c>
      <x:c r="E313" s="12" t="n">
        <x:f>IFERROR(VLOOKUP(C313,BangGia!$A$2:$D$7,4,FALSE),"Chưa có giá")</x:f>
        <x:v>22000</x:v>
      </x:c>
      <x:c r="F313" t="str">
        <x:v>Có</x:v>
      </x:c>
      <x:c r="G313" t="n">
        <x:v>41</x:v>
      </x:c>
    </x:row>
    <x:row r="314">
      <x:c r="A314" t="str">
        <x:v>VD0313</x:v>
      </x:c>
      <x:c r="B314" t="str">
        <x:v>R02</x:v>
      </x:c>
      <x:c r="C314" t="str">
        <x:f>TRIM(B314)</x:f>
        <x:v>R02</x:v>
      </x:c>
      <x:c r="D314" t="str">
        <x:v>Khách hàng 313</x:v>
      </x:c>
      <x:c r="E314" s="12" t="n">
        <x:f>IFERROR(VLOOKUP(C314,BangGia!$A$2:$D$7,4,FALSE),"Chưa có giá")</x:f>
        <x:v>45000</x:v>
      </x:c>
      <x:c r="F314" t="str">
        <x:v>Có</x:v>
      </x:c>
      <x:c r="G314" t="n">
        <x:v>54</x:v>
      </x:c>
    </x:row>
    <x:row r="315">
      <x:c r="A315" t="str">
        <x:v>VD0314</x:v>
      </x:c>
      <x:c r="B315" t="str">
        <x:v>R03</x:v>
      </x:c>
      <x:c r="C315" t="str">
        <x:f>TRIM(B315)</x:f>
        <x:v>R03</x:v>
      </x:c>
      <x:c r="D315" t="str">
        <x:v>Khách hàng 314</x:v>
      </x:c>
      <x:c r="E315" s="12" t="n">
        <x:f>IFERROR(VLOOKUP(C315,BangGia!$A$2:$D$7,4,FALSE),"Chưa có giá")</x:f>
        <x:v>38000</x:v>
      </x:c>
      <x:c r="F315" t="str">
        <x:v>Có</x:v>
      </x:c>
      <x:c r="G315" t="n">
        <x:v>67</x:v>
      </x:c>
    </x:row>
    <x:row r="316">
      <x:c r="A316" t="str">
        <x:v>VD0315</x:v>
      </x:c>
      <x:c r="B316" t="str">
        <x:v>R04</x:v>
      </x:c>
      <x:c r="C316" t="str">
        <x:f>TRIM(B316)</x:f>
        <x:v>R04</x:v>
      </x:c>
      <x:c r="D316" t="str">
        <x:v>Khách hàng 315</x:v>
      </x:c>
      <x:c r="E316" s="12" t="n">
        <x:f>IFERROR(VLOOKUP(C316,BangGia!$A$2:$D$7,4,FALSE),"Chưa có giá")</x:f>
        <x:v>52000</x:v>
      </x:c>
      <x:c r="F316" t="str">
        <x:v>Không</x:v>
      </x:c>
      <x:c r="G316" t="n">
        <x:v>80</x:v>
      </x:c>
    </x:row>
    <x:row r="317">
      <x:c r="A317" t="str">
        <x:v>VD0316</x:v>
      </x:c>
      <x:c r="B317" t="str">
        <x:v>R05</x:v>
      </x:c>
      <x:c r="C317" t="str">
        <x:f>TRIM(B317)</x:f>
        <x:v>R05</x:v>
      </x:c>
      <x:c r="D317" t="str">
        <x:v>Khách hàng 316</x:v>
      </x:c>
      <x:c r="E317" s="12" t="n">
        <x:f>IFERROR(VLOOKUP(C317,BangGia!$A$2:$D$7,4,FALSE),"Chưa có giá")</x:f>
        <x:v>30000</x:v>
      </x:c>
      <x:c r="F317" t="str">
        <x:v>Có</x:v>
      </x:c>
      <x:c r="G317" t="n">
        <x:v>93</x:v>
      </x:c>
    </x:row>
    <x:row r="318">
      <x:c r="A318" t="str">
        <x:v>VD0317</x:v>
      </x:c>
      <x:c r="B318" t="str">
        <x:v>R06</x:v>
      </x:c>
      <x:c r="C318" t="str">
        <x:f>TRIM(B318)</x:f>
        <x:v>R06</x:v>
      </x:c>
      <x:c r="D318" t="str">
        <x:v>Khách hàng 317</x:v>
      </x:c>
      <x:c r="E318" s="12" t="n">
        <x:f>IFERROR(VLOOKUP(C318,BangGia!$A$2:$D$7,4,FALSE),"Chưa có giá")</x:f>
        <x:v>42000</x:v>
      </x:c>
      <x:c r="F318" t="str">
        <x:v>Có</x:v>
      </x:c>
      <x:c r="G318" t="n">
        <x:v>106</x:v>
      </x:c>
    </x:row>
    <x:row r="319">
      <x:c r="A319" t="str">
        <x:v>VD0318</x:v>
      </x:c>
      <x:c r="B319" t="str">
        <x:v>R01</x:v>
      </x:c>
      <x:c r="C319" t="str">
        <x:f>TRIM(B319)</x:f>
        <x:v>R01</x:v>
      </x:c>
      <x:c r="D319" t="str">
        <x:v>Khách hàng 318</x:v>
      </x:c>
      <x:c r="E319" s="12" t="n">
        <x:f>IFERROR(VLOOKUP(C319,BangGia!$A$2:$D$7,4,FALSE),"Chưa có giá")</x:f>
        <x:v>22000</x:v>
      </x:c>
      <x:c r="F319" t="str">
        <x:v>Có</x:v>
      </x:c>
      <x:c r="G319" t="n">
        <x:v>119</x:v>
      </x:c>
    </x:row>
    <x:row r="320">
      <x:c r="A320" t="str">
        <x:v>VD0319</x:v>
      </x:c>
      <x:c r="B320" t="str">
        <x:v>R02</x:v>
      </x:c>
      <x:c r="C320" t="str">
        <x:f>TRIM(B320)</x:f>
        <x:v>R02</x:v>
      </x:c>
      <x:c r="D320" t="str">
        <x:v>Khách hàng 319</x:v>
      </x:c>
      <x:c r="E320" s="12" t="n">
        <x:f>IFERROR(VLOOKUP(C320,BangGia!$A$2:$D$7,4,FALSE),"Chưa có giá")</x:f>
        <x:v>45000</x:v>
      </x:c>
      <x:c r="F320" t="str">
        <x:v>Có</x:v>
      </x:c>
      <x:c r="G320" t="n">
        <x:v>132</x:v>
      </x:c>
    </x:row>
    <x:row r="321">
      <x:c r="A321" t="str">
        <x:v>VD0320</x:v>
      </x:c>
      <x:c r="B321" t="str">
        <x:v>R03</x:v>
      </x:c>
      <x:c r="C321" t="str">
        <x:f>TRIM(B321)</x:f>
        <x:v>R03</x:v>
      </x:c>
      <x:c r="D321" t="str">
        <x:v>Khách hàng 320</x:v>
      </x:c>
      <x:c r="E321" s="12" t="n">
        <x:f>IFERROR(VLOOKUP(C321,BangGia!$A$2:$D$7,4,FALSE),"Chưa có giá")</x:f>
        <x:v>38000</x:v>
      </x:c>
      <x:c r="F321" t="str">
        <x:v>Có</x:v>
      </x:c>
      <x:c r="G321" t="n">
        <x:v>145</x:v>
      </x:c>
    </x:row>
    <x:row r="322">
      <x:c r="A322" t="str">
        <x:v>VD0321</x:v>
      </x:c>
      <x:c r="B322" t="str">
        <x:v>R04</x:v>
      </x:c>
      <x:c r="C322" t="str">
        <x:f>TRIM(B322)</x:f>
        <x:v>R04</x:v>
      </x:c>
      <x:c r="D322" t="str">
        <x:v>Khách hàng 321</x:v>
      </x:c>
      <x:c r="E322" s="12" t="n">
        <x:f>IFERROR(VLOOKUP(C322,BangGia!$A$2:$D$7,4,FALSE),"Chưa có giá")</x:f>
        <x:v>52000</x:v>
      </x:c>
      <x:c r="F322" t="str">
        <x:v>Có</x:v>
      </x:c>
      <x:c r="G322" t="n">
        <x:v>158</x:v>
      </x:c>
    </x:row>
    <x:row r="323">
      <x:c r="A323" t="str">
        <x:v>VD0322</x:v>
      </x:c>
      <x:c r="B323" t="str">
        <x:v>R05</x:v>
      </x:c>
      <x:c r="C323" t="str">
        <x:f>TRIM(B323)</x:f>
        <x:v>R05</x:v>
      </x:c>
      <x:c r="D323" t="str">
        <x:v>Khách hàng 322</x:v>
      </x:c>
      <x:c r="E323" s="12" t="n">
        <x:f>IFERROR(VLOOKUP(C323,BangGia!$A$2:$D$7,4,FALSE),"Chưa có giá")</x:f>
        <x:v>30000</x:v>
      </x:c>
      <x:c r="F323" t="str">
        <x:v>Có</x:v>
      </x:c>
      <x:c r="G323" t="n">
        <x:v>171</x:v>
      </x:c>
    </x:row>
    <x:row r="324">
      <x:c r="A324" t="str">
        <x:v>VD0323</x:v>
      </x:c>
      <x:c r="B324" t="str">
        <x:v>R06</x:v>
      </x:c>
      <x:c r="C324" t="str">
        <x:f>TRIM(B324)</x:f>
        <x:v>R06</x:v>
      </x:c>
      <x:c r="D324" t="str">
        <x:v>Khách hàng 323</x:v>
      </x:c>
      <x:c r="E324" s="12" t="n">
        <x:f>IFERROR(VLOOKUP(C324,BangGia!$A$2:$D$7,4,FALSE),"Chưa có giá")</x:f>
        <x:v>42000</x:v>
      </x:c>
      <x:c r="F324" t="str">
        <x:v>Có</x:v>
      </x:c>
      <x:c r="G324" t="n">
        <x:v>184</x:v>
      </x:c>
    </x:row>
    <x:row r="325">
      <x:c r="A325" t="str">
        <x:v>VD0324</x:v>
      </x:c>
      <x:c r="B325" t="str">
        <x:v>R01</x:v>
      </x:c>
      <x:c r="C325" t="str">
        <x:f>TRIM(B325)</x:f>
        <x:v>R01</x:v>
      </x:c>
      <x:c r="D325" t="str">
        <x:v>Khách hàng 324</x:v>
      </x:c>
      <x:c r="E325" s="12" t="n">
        <x:f>IFERROR(VLOOKUP(C325,BangGia!$A$2:$D$7,4,FALSE),"Chưa có giá")</x:f>
        <x:v>22000</x:v>
      </x:c>
      <x:c r="F325" t="str">
        <x:v>Không</x:v>
      </x:c>
      <x:c r="G325" t="n">
        <x:v>47</x:v>
      </x:c>
    </x:row>
    <x:row r="326">
      <x:c r="A326" t="str">
        <x:v>VD0325</x:v>
      </x:c>
      <x:c r="B326" t="str">
        <x:v>R02</x:v>
      </x:c>
      <x:c r="C326" t="str">
        <x:f>TRIM(B326)</x:f>
        <x:v>R02</x:v>
      </x:c>
      <x:c r="D326" t="str">
        <x:v>Khách hàng 325</x:v>
      </x:c>
      <x:c r="E326" s="12" t="n">
        <x:f>IFERROR(VLOOKUP(C326,BangGia!$A$2:$D$7,4,FALSE),"Chưa có giá")</x:f>
        <x:v>45000</x:v>
      </x:c>
      <x:c r="F326" t="str">
        <x:v>Có</x:v>
      </x:c>
      <x:c r="G326" t="n">
        <x:v>60</x:v>
      </x:c>
    </x:row>
    <x:row r="327">
      <x:c r="A327" t="str">
        <x:v>VD0326</x:v>
      </x:c>
      <x:c r="B327" t="str">
        <x:v>R03</x:v>
      </x:c>
      <x:c r="C327" t="str">
        <x:f>TRIM(B327)</x:f>
        <x:v>R03</x:v>
      </x:c>
      <x:c r="D327" t="str">
        <x:v>Khách hàng 326</x:v>
      </x:c>
      <x:c r="E327" s="12" t="n">
        <x:f>IFERROR(VLOOKUP(C327,BangGia!$A$2:$D$7,4,FALSE),"Chưa có giá")</x:f>
        <x:v>38000</x:v>
      </x:c>
      <x:c r="F327" t="str">
        <x:v>Có</x:v>
      </x:c>
      <x:c r="G327" t="n">
        <x:v>73</x:v>
      </x:c>
    </x:row>
    <x:row r="328">
      <x:c r="A328" t="str">
        <x:v>VD0327</x:v>
      </x:c>
      <x:c r="B328" t="str">
        <x:v>R04</x:v>
      </x:c>
      <x:c r="C328" t="str">
        <x:f>TRIM(B328)</x:f>
        <x:v>R04</x:v>
      </x:c>
      <x:c r="D328" t="str">
        <x:v>Khách hàng 327</x:v>
      </x:c>
      <x:c r="E328" s="12" t="n">
        <x:f>IFERROR(VLOOKUP(C328,BangGia!$A$2:$D$7,4,FALSE),"Chưa có giá")</x:f>
        <x:v>52000</x:v>
      </x:c>
      <x:c r="F328" t="str">
        <x:v>Có</x:v>
      </x:c>
      <x:c r="G328" t="n">
        <x:v>86</x:v>
      </x:c>
    </x:row>
    <x:row r="329">
      <x:c r="A329" t="str">
        <x:v>VD0328</x:v>
      </x:c>
      <x:c r="B329" t="str">
        <x:v>R05 </x:v>
      </x:c>
      <x:c r="C329" t="str">
        <x:f>TRIM(B329)</x:f>
        <x:v>R05</x:v>
      </x:c>
      <x:c r="D329" t="str">
        <x:v>Khách hàng 328</x:v>
      </x:c>
      <x:c r="E329" s="12" t="n">
        <x:f>IFERROR(VLOOKUP(C329,BangGia!$A$2:$D$7,4,FALSE),"Chưa có giá")</x:f>
        <x:v>30000</x:v>
      </x:c>
      <x:c r="F329" t="str">
        <x:v>Có</x:v>
      </x:c>
      <x:c r="G329" t="n">
        <x:v>99</x:v>
      </x:c>
    </x:row>
    <x:row r="330">
      <x:c r="A330" t="str">
        <x:v>VD0329</x:v>
      </x:c>
      <x:c r="B330" t="str">
        <x:v>R06</x:v>
      </x:c>
      <x:c r="C330" t="str">
        <x:f>TRIM(B330)</x:f>
        <x:v>R06</x:v>
      </x:c>
      <x:c r="D330" t="str">
        <x:v>Khách hàng 329</x:v>
      </x:c>
      <x:c r="E330" s="12" t="n">
        <x:f>IFERROR(VLOOKUP(C330,BangGia!$A$2:$D$7,4,FALSE),"Chưa có giá")</x:f>
        <x:v>42000</x:v>
      </x:c>
      <x:c r="F330" t="str">
        <x:v>Có</x:v>
      </x:c>
      <x:c r="G330" t="n">
        <x:v>112</x:v>
      </x:c>
    </x:row>
    <x:row r="331">
      <x:c r="A331" t="str">
        <x:v>VD0330</x:v>
      </x:c>
      <x:c r="B331" t="str">
        <x:v>R01</x:v>
      </x:c>
      <x:c r="C331" t="str">
        <x:f>TRIM(B331)</x:f>
        <x:v>R01</x:v>
      </x:c>
      <x:c r="D331" t="str">
        <x:v>Khách hàng 330</x:v>
      </x:c>
      <x:c r="E331" s="12" t="n">
        <x:f>IFERROR(VLOOKUP(C331,BangGia!$A$2:$D$7,4,FALSE),"Chưa có giá")</x:f>
        <x:v>22000</x:v>
      </x:c>
      <x:c r="F331" t="str">
        <x:v>Có</x:v>
      </x:c>
      <x:c r="G331" t="n">
        <x:v>125</x:v>
      </x:c>
    </x:row>
    <x:row r="332">
      <x:c r="A332" t="str">
        <x:v>VD0331</x:v>
      </x:c>
      <x:c r="B332" t="str">
        <x:v>R02</x:v>
      </x:c>
      <x:c r="C332" t="str">
        <x:f>TRIM(B332)</x:f>
        <x:v>R02</x:v>
      </x:c>
      <x:c r="D332" t="str">
        <x:v>Khách hàng 331</x:v>
      </x:c>
      <x:c r="E332" s="12" t="n">
        <x:f>IFERROR(VLOOKUP(C332,BangGia!$A$2:$D$7,4,FALSE),"Chưa có giá")</x:f>
        <x:v>45000</x:v>
      </x:c>
      <x:c r="F332" t="str">
        <x:v>Có</x:v>
      </x:c>
      <x:c r="G332" t="n">
        <x:v>138</x:v>
      </x:c>
    </x:row>
    <x:row r="333">
      <x:c r="A333" t="str">
        <x:v>VD0332</x:v>
      </x:c>
      <x:c r="B333" t="str">
        <x:v>R03</x:v>
      </x:c>
      <x:c r="C333" t="str">
        <x:f>TRIM(B333)</x:f>
        <x:v>R03</x:v>
      </x:c>
      <x:c r="D333" t="str">
        <x:v>Khách hàng 332</x:v>
      </x:c>
      <x:c r="E333" s="12" t="n">
        <x:f>IFERROR(VLOOKUP(C333,BangGia!$A$2:$D$7,4,FALSE),"Chưa có giá")</x:f>
        <x:v>38000</x:v>
      </x:c>
      <x:c r="F333" t="str">
        <x:v>Có</x:v>
      </x:c>
      <x:c r="G333" t="n">
        <x:v>151</x:v>
      </x:c>
    </x:row>
    <x:row r="334">
      <x:c r="A334" t="str">
        <x:v>VD0333</x:v>
      </x:c>
      <x:c r="B334" t="str">
        <x:v>R04</x:v>
      </x:c>
      <x:c r="C334" t="str">
        <x:f>TRIM(B334)</x:f>
        <x:v>R04</x:v>
      </x:c>
      <x:c r="D334" t="str">
        <x:v>Khách hàng 333</x:v>
      </x:c>
      <x:c r="E334" s="12" t="n">
        <x:f>IFERROR(VLOOKUP(C334,BangGia!$A$2:$D$7,4,FALSE),"Chưa có giá")</x:f>
        <x:v>52000</x:v>
      </x:c>
      <x:c r="F334" t="str">
        <x:v>Không</x:v>
      </x:c>
      <x:c r="G334" t="n">
        <x:v>164</x:v>
      </x:c>
    </x:row>
    <x:row r="335">
      <x:c r="A335" t="str">
        <x:v>VD0334</x:v>
      </x:c>
      <x:c r="B335" t="str">
        <x:v>R05</x:v>
      </x:c>
      <x:c r="C335" t="str">
        <x:f>TRIM(B335)</x:f>
        <x:v>R05</x:v>
      </x:c>
      <x:c r="D335" t="str">
        <x:v>Khách hàng 334</x:v>
      </x:c>
      <x:c r="E335" s="12" t="n">
        <x:f>IFERROR(VLOOKUP(C335,BangGia!$A$2:$D$7,4,FALSE),"Chưa có giá")</x:f>
        <x:v>30000</x:v>
      </x:c>
      <x:c r="F335" t="str">
        <x:v>Có</x:v>
      </x:c>
      <x:c r="G335" t="n">
        <x:v>177</x:v>
      </x:c>
    </x:row>
    <x:row r="336">
      <x:c r="A336" t="str">
        <x:v>VD0335</x:v>
      </x:c>
      <x:c r="B336" t="str">
        <x:v>R06</x:v>
      </x:c>
      <x:c r="C336" t="str">
        <x:f>TRIM(B336)</x:f>
        <x:v>R06</x:v>
      </x:c>
      <x:c r="D336" t="str">
        <x:v>Khách hàng 335</x:v>
      </x:c>
      <x:c r="E336" s="12" t="n">
        <x:f>IFERROR(VLOOKUP(C336,BangGia!$A$2:$D$7,4,FALSE),"Chưa có giá")</x:f>
        <x:v>42000</x:v>
      </x:c>
      <x:c r="F336" t="str">
        <x:v>Có</x:v>
      </x:c>
      <x:c r="G336" t="n">
        <x:v>40</x:v>
      </x:c>
    </x:row>
    <x:row r="337">
      <x:c r="A337" t="str">
        <x:v>VD0336</x:v>
      </x:c>
      <x:c r="B337" t="str">
        <x:v>R01</x:v>
      </x:c>
      <x:c r="C337" t="str">
        <x:f>TRIM(B337)</x:f>
        <x:v>R01</x:v>
      </x:c>
      <x:c r="D337" t="str">
        <x:v>Khách hàng 336</x:v>
      </x:c>
      <x:c r="E337" s="12" t="n">
        <x:f>IFERROR(VLOOKUP(C337,BangGia!$A$2:$D$7,4,FALSE),"Chưa có giá")</x:f>
        <x:v>22000</x:v>
      </x:c>
      <x:c r="F337" t="str">
        <x:v>Có</x:v>
      </x:c>
      <x:c r="G337" t="n">
        <x:v>53</x:v>
      </x:c>
    </x:row>
    <x:row r="338">
      <x:c r="A338" t="str">
        <x:v>VD0337</x:v>
      </x:c>
      <x:c r="B338" t="str">
        <x:v>R02</x:v>
      </x:c>
      <x:c r="C338" t="str">
        <x:f>TRIM(B338)</x:f>
        <x:v>R02</x:v>
      </x:c>
      <x:c r="D338" t="str">
        <x:v>Khách hàng 337</x:v>
      </x:c>
      <x:c r="E338" s="12" t="n">
        <x:f>IFERROR(VLOOKUP(C338,BangGia!$A$2:$D$7,4,FALSE),"Chưa có giá")</x:f>
        <x:v>45000</x:v>
      </x:c>
      <x:c r="F338" t="str">
        <x:v>Có</x:v>
      </x:c>
      <x:c r="G338" t="n">
        <x:v>66</x:v>
      </x:c>
    </x:row>
    <x:row r="339">
      <x:c r="A339" t="str">
        <x:v>VD0338</x:v>
      </x:c>
      <x:c r="B339" t="str">
        <x:v>R03</x:v>
      </x:c>
      <x:c r="C339" t="str">
        <x:f>TRIM(B339)</x:f>
        <x:v>R03</x:v>
      </x:c>
      <x:c r="D339" t="str">
        <x:v>Khách hàng 338</x:v>
      </x:c>
      <x:c r="E339" s="12" t="n">
        <x:f>IFERROR(VLOOKUP(C339,BangGia!$A$2:$D$7,4,FALSE),"Chưa có giá")</x:f>
        <x:v>38000</x:v>
      </x:c>
      <x:c r="F339" t="str">
        <x:v>Có</x:v>
      </x:c>
      <x:c r="G339" t="n">
        <x:v>79</x:v>
      </x:c>
    </x:row>
    <x:row r="340">
      <x:c r="A340" t="str">
        <x:v>VD0339</x:v>
      </x:c>
      <x:c r="B340" t="str">
        <x:v>R04</x:v>
      </x:c>
      <x:c r="C340" t="str">
        <x:f>TRIM(B340)</x:f>
        <x:v>R04</x:v>
      </x:c>
      <x:c r="D340" t="str">
        <x:v>Khách hàng 339</x:v>
      </x:c>
      <x:c r="E340" s="12" t="n">
        <x:f>IFERROR(VLOOKUP(C340,BangGia!$A$2:$D$7,4,FALSE),"Chưa có giá")</x:f>
        <x:v>52000</x:v>
      </x:c>
      <x:c r="F340" t="str">
        <x:v>Có</x:v>
      </x:c>
      <x:c r="G340" t="n">
        <x:v>92</x:v>
      </x:c>
    </x:row>
    <x:row r="341">
      <x:c r="A341" t="str">
        <x:v>VD0340</x:v>
      </x:c>
      <x:c r="B341" t="str">
        <x:v>R05</x:v>
      </x:c>
      <x:c r="C341" t="str">
        <x:f>TRIM(B341)</x:f>
        <x:v>R05</x:v>
      </x:c>
      <x:c r="D341" t="str">
        <x:v>Khách hàng 340</x:v>
      </x:c>
      <x:c r="E341" s="12" t="n">
        <x:f>IFERROR(VLOOKUP(C341,BangGia!$A$2:$D$7,4,FALSE),"Chưa có giá")</x:f>
        <x:v>30000</x:v>
      </x:c>
      <x:c r="F341" t="str">
        <x:v>Có</x:v>
      </x:c>
      <x:c r="G341" t="n">
        <x:v>105</x:v>
      </x:c>
    </x:row>
    <x:row r="342">
      <x:c r="A342" t="str">
        <x:v>VD0341</x:v>
      </x:c>
      <x:c r="B342" t="str">
        <x:v>R06</x:v>
      </x:c>
      <x:c r="C342" t="str">
        <x:f>TRIM(B342)</x:f>
        <x:v>R06</x:v>
      </x:c>
      <x:c r="D342" t="str">
        <x:v>Khách hàng 341</x:v>
      </x:c>
      <x:c r="E342" s="12" t="n">
        <x:f>IFERROR(VLOOKUP(C342,BangGia!$A$2:$D$7,4,FALSE),"Chưa có giá")</x:f>
        <x:v>42000</x:v>
      </x:c>
      <x:c r="F342" t="str">
        <x:v>Có</x:v>
      </x:c>
      <x:c r="G342" t="n">
        <x:v>118</x:v>
      </x:c>
    </x:row>
    <x:row r="343">
      <x:c r="A343" t="str">
        <x:v>VD0342</x:v>
      </x:c>
      <x:c r="B343" t="str">
        <x:v>R01</x:v>
      </x:c>
      <x:c r="C343" t="str">
        <x:f>TRIM(B343)</x:f>
        <x:v>R01</x:v>
      </x:c>
      <x:c r="D343" t="str">
        <x:v>Khách hàng 342</x:v>
      </x:c>
      <x:c r="E343" s="12" t="n">
        <x:f>IFERROR(VLOOKUP(C343,BangGia!$A$2:$D$7,4,FALSE),"Chưa có giá")</x:f>
        <x:v>22000</x:v>
      </x:c>
      <x:c r="F343" t="str">
        <x:v>Không</x:v>
      </x:c>
      <x:c r="G343" t="n">
        <x:v>131</x:v>
      </x:c>
    </x:row>
    <x:row r="344">
      <x:c r="A344" t="str">
        <x:v>VD0343</x:v>
      </x:c>
      <x:c r="B344" t="str">
        <x:v>R02</x:v>
      </x:c>
      <x:c r="C344" t="str">
        <x:f>TRIM(B344)</x:f>
        <x:v>R02</x:v>
      </x:c>
      <x:c r="D344" t="str">
        <x:v>Khách hàng 343</x:v>
      </x:c>
      <x:c r="E344" s="12" t="n">
        <x:f>IFERROR(VLOOKUP(C344,BangGia!$A$2:$D$7,4,FALSE),"Chưa có giá")</x:f>
        <x:v>45000</x:v>
      </x:c>
      <x:c r="F344" t="str">
        <x:v>Có</x:v>
      </x:c>
      <x:c r="G344" t="n">
        <x:v>144</x:v>
      </x:c>
    </x:row>
    <x:row r="345">
      <x:c r="A345" t="str">
        <x:v>VD0344</x:v>
      </x:c>
      <x:c r="B345" t="str">
        <x:v>R03</x:v>
      </x:c>
      <x:c r="C345" t="str">
        <x:f>TRIM(B345)</x:f>
        <x:v>R03</x:v>
      </x:c>
      <x:c r="D345" t="str">
        <x:v>Khách hàng 344</x:v>
      </x:c>
      <x:c r="E345" s="12" t="n">
        <x:f>IFERROR(VLOOKUP(C345,BangGia!$A$2:$D$7,4,FALSE),"Chưa có giá")</x:f>
        <x:v>38000</x:v>
      </x:c>
      <x:c r="F345" t="str">
        <x:v>Có</x:v>
      </x:c>
      <x:c r="G345" t="n">
        <x:v>157</x:v>
      </x:c>
    </x:row>
    <x:row r="346">
      <x:c r="A346" t="str">
        <x:v>VD0345</x:v>
      </x:c>
      <x:c r="B346" t="str">
        <x:v>R04</x:v>
      </x:c>
      <x:c r="C346" t="str">
        <x:f>TRIM(B346)</x:f>
        <x:v>R04</x:v>
      </x:c>
      <x:c r="D346" t="str">
        <x:v>Khách hàng 345</x:v>
      </x:c>
      <x:c r="E346" s="12" t="n">
        <x:f>IFERROR(VLOOKUP(C346,BangGia!$A$2:$D$7,4,FALSE),"Chưa có giá")</x:f>
        <x:v>52000</x:v>
      </x:c>
      <x:c r="F346" t="str">
        <x:v>Có</x:v>
      </x:c>
      <x:c r="G346" t="n">
        <x:v>170</x:v>
      </x:c>
    </x:row>
    <x:row r="347">
      <x:c r="A347" t="str">
        <x:v>VD0346</x:v>
      </x:c>
      <x:c r="B347" t="str">
        <x:v>R05</x:v>
      </x:c>
      <x:c r="C347" t="str">
        <x:f>TRIM(B347)</x:f>
        <x:v>R05</x:v>
      </x:c>
      <x:c r="D347" t="str">
        <x:v>Khách hàng 346</x:v>
      </x:c>
      <x:c r="E347" s="12" t="n">
        <x:f>IFERROR(VLOOKUP(C347,BangGia!$A$2:$D$7,4,FALSE),"Chưa có giá")</x:f>
        <x:v>30000</x:v>
      </x:c>
      <x:c r="F347" t="str">
        <x:v>Có</x:v>
      </x:c>
      <x:c r="G347" t="n">
        <x:v>183</x:v>
      </x:c>
    </x:row>
    <x:row r="348">
      <x:c r="A348" t="str">
        <x:v>VD0347</x:v>
      </x:c>
      <x:c r="B348" t="str">
        <x:v>R06</x:v>
      </x:c>
      <x:c r="C348" t="str">
        <x:f>TRIM(B348)</x:f>
        <x:v>R06</x:v>
      </x:c>
      <x:c r="D348" t="str">
        <x:v>Khách hàng 347</x:v>
      </x:c>
      <x:c r="E348" s="12" t="n">
        <x:f>IFERROR(VLOOKUP(C348,BangGia!$A$2:$D$7,4,FALSE),"Chưa có giá")</x:f>
        <x:v>42000</x:v>
      </x:c>
      <x:c r="F348" t="str">
        <x:v>Có</x:v>
      </x:c>
      <x:c r="G348" t="n">
        <x:v>46</x:v>
      </x:c>
    </x:row>
    <x:row r="349">
      <x:c r="A349" t="str">
        <x:v>VD0348</x:v>
      </x:c>
      <x:c r="B349" t="str">
        <x:v>R01</x:v>
      </x:c>
      <x:c r="C349" t="str">
        <x:f>TRIM(B349)</x:f>
        <x:v>R01</x:v>
      </x:c>
      <x:c r="D349" t="str">
        <x:v>Khách hàng 348</x:v>
      </x:c>
      <x:c r="E349" s="12" t="n">
        <x:f>IFERROR(VLOOKUP(C349,BangGia!$A$2:$D$7,4,FALSE),"Chưa có giá")</x:f>
        <x:v>22000</x:v>
      </x:c>
      <x:c r="F349" t="str">
        <x:v>Có</x:v>
      </x:c>
      <x:c r="G349" t="n">
        <x:v>59</x:v>
      </x:c>
    </x:row>
    <x:row r="350">
      <x:c r="A350" t="str">
        <x:v>VD0349</x:v>
      </x:c>
      <x:c r="B350" t="str">
        <x:v>R02</x:v>
      </x:c>
      <x:c r="C350" t="str">
        <x:f>TRIM(B350)</x:f>
        <x:v>R02</x:v>
      </x:c>
      <x:c r="D350" t="str">
        <x:v>Khách hàng 349</x:v>
      </x:c>
      <x:c r="E350" s="12" t="n">
        <x:f>IFERROR(VLOOKUP(C350,BangGia!$A$2:$D$7,4,FALSE),"Chưa có giá")</x:f>
        <x:v>45000</x:v>
      </x:c>
      <x:c r="F350" t="str">
        <x:v>Có</x:v>
      </x:c>
      <x:c r="G350" t="n">
        <x:v>72</x:v>
      </x:c>
    </x:row>
    <x:row r="351">
      <x:c r="A351" t="str">
        <x:v>VD0350</x:v>
      </x:c>
      <x:c r="B351" t="str">
        <x:v>R03</x:v>
      </x:c>
      <x:c r="C351" t="str">
        <x:f>TRIM(B351)</x:f>
        <x:v>R03</x:v>
      </x:c>
      <x:c r="D351" t="str">
        <x:v>Khách hàng 350</x:v>
      </x:c>
      <x:c r="E351" s="12" t="n">
        <x:f>IFERROR(VLOOKUP(C351,BangGia!$A$2:$D$7,4,FALSE),"Chưa có giá")</x:f>
        <x:v>38000</x:v>
      </x:c>
      <x:c r="F351" t="str">
        <x:v>Có</x:v>
      </x:c>
      <x:c r="G351" t="n">
        <x:v>85</x:v>
      </x:c>
    </x:row>
    <x:row r="352">
      <x:c r="A352" t="str">
        <x:v>VD0351</x:v>
      </x:c>
      <x:c r="B352" t="str">
        <x:v>R04</x:v>
      </x:c>
      <x:c r="C352" t="str">
        <x:f>TRIM(B352)</x:f>
        <x:v>R04</x:v>
      </x:c>
      <x:c r="D352" t="str">
        <x:v>Khách hàng 351</x:v>
      </x:c>
      <x:c r="E352" s="12" t="n">
        <x:f>IFERROR(VLOOKUP(C352,BangGia!$A$2:$D$7,4,FALSE),"Chưa có giá")</x:f>
        <x:v>52000</x:v>
      </x:c>
      <x:c r="F352" t="str">
        <x:v>Không</x:v>
      </x:c>
      <x:c r="G352" t="n">
        <x:v>98</x:v>
      </x:c>
    </x:row>
    <x:row r="353">
      <x:c r="A353" t="str">
        <x:v>VD0352</x:v>
      </x:c>
      <x:c r="B353" t="str">
        <x:v>R05</x:v>
      </x:c>
      <x:c r="C353" t="str">
        <x:f>TRIM(B353)</x:f>
        <x:v>R05</x:v>
      </x:c>
      <x:c r="D353" t="str">
        <x:v>Khách hàng 352</x:v>
      </x:c>
      <x:c r="E353" s="12" t="n">
        <x:f>IFERROR(VLOOKUP(C353,BangGia!$A$2:$D$7,4,FALSE),"Chưa có giá")</x:f>
        <x:v>30000</x:v>
      </x:c>
      <x:c r="F353" t="str">
        <x:v>Có</x:v>
      </x:c>
      <x:c r="G353" t="n">
        <x:v>111</x:v>
      </x:c>
    </x:row>
    <x:row r="354">
      <x:c r="A354" t="str">
        <x:v>VD0353</x:v>
      </x:c>
      <x:c r="B354" t="str">
        <x:v>R06</x:v>
      </x:c>
      <x:c r="C354" t="str">
        <x:f>TRIM(B354)</x:f>
        <x:v>R06</x:v>
      </x:c>
      <x:c r="D354" t="str">
        <x:v>Khách hàng 353</x:v>
      </x:c>
      <x:c r="E354" s="12" t="n">
        <x:f>IFERROR(VLOOKUP(C354,BangGia!$A$2:$D$7,4,FALSE),"Chưa có giá")</x:f>
        <x:v>42000</x:v>
      </x:c>
      <x:c r="F354" t="str">
        <x:v>Có</x:v>
      </x:c>
      <x:c r="G354" t="n">
        <x:v>124</x:v>
      </x:c>
    </x:row>
    <x:row r="355">
      <x:c r="A355" t="str">
        <x:v>VD0354</x:v>
      </x:c>
      <x:c r="B355" t="str">
        <x:v>R01</x:v>
      </x:c>
      <x:c r="C355" t="str">
        <x:f>TRIM(B355)</x:f>
        <x:v>R01</x:v>
      </x:c>
      <x:c r="D355" t="str">
        <x:v>Khách hàng 354</x:v>
      </x:c>
      <x:c r="E355" s="12" t="n">
        <x:f>IFERROR(VLOOKUP(C355,BangGia!$A$2:$D$7,4,FALSE),"Chưa có giá")</x:f>
        <x:v>22000</x:v>
      </x:c>
      <x:c r="F355" t="str">
        <x:v>Có</x:v>
      </x:c>
      <x:c r="G355" t="n">
        <x:v>137</x:v>
      </x:c>
    </x:row>
    <x:row r="356">
      <x:c r="A356" t="str">
        <x:v>VD0355</x:v>
      </x:c>
      <x:c r="B356" t="str">
        <x:v>R02</x:v>
      </x:c>
      <x:c r="C356" t="str">
        <x:f>TRIM(B356)</x:f>
        <x:v>R02</x:v>
      </x:c>
      <x:c r="D356" t="str">
        <x:v>Khách hàng 355</x:v>
      </x:c>
      <x:c r="E356" s="12" t="n">
        <x:f>IFERROR(VLOOKUP(C356,BangGia!$A$2:$D$7,4,FALSE),"Chưa có giá")</x:f>
        <x:v>45000</x:v>
      </x:c>
      <x:c r="F356" t="str">
        <x:v>Có</x:v>
      </x:c>
      <x:c r="G356" t="n">
        <x:v>150</x:v>
      </x:c>
    </x:row>
    <x:row r="357">
      <x:c r="A357" t="str">
        <x:v>VD0356</x:v>
      </x:c>
      <x:c r="B357" t="str">
        <x:v>R03</x:v>
      </x:c>
      <x:c r="C357" t="str">
        <x:f>TRIM(B357)</x:f>
        <x:v>R03</x:v>
      </x:c>
      <x:c r="D357" t="str">
        <x:v>Khách hàng 356</x:v>
      </x:c>
      <x:c r="E357" s="12" t="n">
        <x:f>IFERROR(VLOOKUP(C357,BangGia!$A$2:$D$7,4,FALSE),"Chưa có giá")</x:f>
        <x:v>38000</x:v>
      </x:c>
      <x:c r="F357" t="str">
        <x:v>Có</x:v>
      </x:c>
      <x:c r="G357" t="n">
        <x:v>163</x:v>
      </x:c>
    </x:row>
    <x:row r="358">
      <x:c r="A358" t="str">
        <x:v>VD0357</x:v>
      </x:c>
      <x:c r="B358" t="str">
        <x:v>R04</x:v>
      </x:c>
      <x:c r="C358" t="str">
        <x:f>TRIM(B358)</x:f>
        <x:v>R04</x:v>
      </x:c>
      <x:c r="D358" t="str">
        <x:v>Khách hàng 357</x:v>
      </x:c>
      <x:c r="E358" s="12" t="n">
        <x:f>IFERROR(VLOOKUP(C358,BangGia!$A$2:$D$7,4,FALSE),"Chưa có giá")</x:f>
        <x:v>52000</x:v>
      </x:c>
      <x:c r="F358" t="str">
        <x:v>Có</x:v>
      </x:c>
      <x:c r="G358" t="n">
        <x:v>176</x:v>
      </x:c>
    </x:row>
    <x:row r="359">
      <x:c r="A359" t="str">
        <x:v>VD0358</x:v>
      </x:c>
      <x:c r="B359" t="str">
        <x:v>R05</x:v>
      </x:c>
      <x:c r="C359" t="str">
        <x:f>TRIM(B359)</x:f>
        <x:v>R05</x:v>
      </x:c>
      <x:c r="D359" t="str">
        <x:v>Khách hàng 358</x:v>
      </x:c>
      <x:c r="E359" s="12" t="n">
        <x:f>IFERROR(VLOOKUP(C359,BangGia!$A$2:$D$7,4,FALSE),"Chưa có giá")</x:f>
        <x:v>30000</x:v>
      </x:c>
      <x:c r="F359" t="str">
        <x:v>Có</x:v>
      </x:c>
      <x:c r="G359" t="n">
        <x:v>39</x:v>
      </x:c>
    </x:row>
    <x:row r="360">
      <x:c r="A360" t="str">
        <x:v>VD0359</x:v>
      </x:c>
      <x:c r="B360" t="str">
        <x:v>R06</x:v>
      </x:c>
      <x:c r="C360" t="str">
        <x:f>TRIM(B360)</x:f>
        <x:v>R06</x:v>
      </x:c>
      <x:c r="D360" t="str">
        <x:v>Khách hàng 359</x:v>
      </x:c>
      <x:c r="E360" s="12" t="n">
        <x:f>IFERROR(VLOOKUP(C360,BangGia!$A$2:$D$7,4,FALSE),"Chưa có giá")</x:f>
        <x:v>42000</x:v>
      </x:c>
      <x:c r="F360" t="str">
        <x:v>Có</x:v>
      </x:c>
      <x:c r="G360" t="n">
        <x:v>52</x:v>
      </x:c>
    </x:row>
    <x:row r="361">
      <x:c r="A361" t="str">
        <x:v>VD0360</x:v>
      </x:c>
      <x:c r="B361" t="str">
        <x:v>R01</x:v>
      </x:c>
      <x:c r="C361" t="str">
        <x:f>TRIM(B361)</x:f>
        <x:v>R01</x:v>
      </x:c>
      <x:c r="D361" t="str">
        <x:v>Khách hàng 360</x:v>
      </x:c>
      <x:c r="E361" s="12" t="n">
        <x:f>IFERROR(VLOOKUP(C361,BangGia!$A$2:$D$7,4,FALSE),"Chưa có giá")</x:f>
        <x:v>22000</x:v>
      </x:c>
      <x:c r="F361" t="str">
        <x:v>Không</x:v>
      </x:c>
      <x:c r="G361" t="n">
        <x:v>65</x:v>
      </x:c>
    </x:row>
    <x:row r="362">
      <x:c r="A362" t="str">
        <x:v>VD0361</x:v>
      </x:c>
      <x:c r="B362" t="str">
        <x:v>R02</x:v>
      </x:c>
      <x:c r="C362" t="str">
        <x:f>TRIM(B362)</x:f>
        <x:v>R02</x:v>
      </x:c>
      <x:c r="D362" t="str">
        <x:v>Khách hàng 361</x:v>
      </x:c>
      <x:c r="E362" s="12" t="n">
        <x:f>IFERROR(VLOOKUP(C362,BangGia!$A$2:$D$7,4,FALSE),"Chưa có giá")</x:f>
        <x:v>45000</x:v>
      </x:c>
      <x:c r="F362" t="str">
        <x:v>Có</x:v>
      </x:c>
      <x:c r="G362" t="n">
        <x:v>78</x:v>
      </x:c>
    </x:row>
    <x:row r="363">
      <x:c r="A363" t="str">
        <x:v>VD0362</x:v>
      </x:c>
      <x:c r="B363" t="str">
        <x:v>R03</x:v>
      </x:c>
      <x:c r="C363" t="str">
        <x:f>TRIM(B363)</x:f>
        <x:v>R03</x:v>
      </x:c>
      <x:c r="D363" t="str">
        <x:v>Khách hàng 362</x:v>
      </x:c>
      <x:c r="E363" s="12" t="n">
        <x:f>IFERROR(VLOOKUP(C363,BangGia!$A$2:$D$7,4,FALSE),"Chưa có giá")</x:f>
        <x:v>38000</x:v>
      </x:c>
      <x:c r="F363" t="str">
        <x:v>Có</x:v>
      </x:c>
      <x:c r="G363" t="n">
        <x:v>91</x:v>
      </x:c>
    </x:row>
    <x:row r="364">
      <x:c r="A364" t="str">
        <x:v>VD0363</x:v>
      </x:c>
      <x:c r="B364" t="str">
        <x:v>R04</x:v>
      </x:c>
      <x:c r="C364" t="str">
        <x:f>TRIM(B364)</x:f>
        <x:v>R04</x:v>
      </x:c>
      <x:c r="D364" t="str">
        <x:v>Khách hàng 363</x:v>
      </x:c>
      <x:c r="E364" s="12" t="n">
        <x:f>IFERROR(VLOOKUP(C364,BangGia!$A$2:$D$7,4,FALSE),"Chưa có giá")</x:f>
        <x:v>52000</x:v>
      </x:c>
      <x:c r="F364" t="str">
        <x:v>Có</x:v>
      </x:c>
      <x:c r="G364" t="n">
        <x:v>104</x:v>
      </x:c>
    </x:row>
    <x:row r="365">
      <x:c r="A365" t="str">
        <x:v>VD0364</x:v>
      </x:c>
      <x:c r="B365" t="str">
        <x:v>R05</x:v>
      </x:c>
      <x:c r="C365" t="str">
        <x:f>TRIM(B365)</x:f>
        <x:v>R05</x:v>
      </x:c>
      <x:c r="D365" t="str">
        <x:v>Khách hàng 364</x:v>
      </x:c>
      <x:c r="E365" s="12" t="n">
        <x:f>IFERROR(VLOOKUP(C365,BangGia!$A$2:$D$7,4,FALSE),"Chưa có giá")</x:f>
        <x:v>30000</x:v>
      </x:c>
      <x:c r="F365" t="str">
        <x:v>Có</x:v>
      </x:c>
      <x:c r="G365" t="n">
        <x:v>117</x:v>
      </x:c>
    </x:row>
    <x:row r="366">
      <x:c r="A366" t="str">
        <x:v>VD0365</x:v>
      </x:c>
      <x:c r="B366" t="str">
        <x:v>R06</x:v>
      </x:c>
      <x:c r="C366" t="str">
        <x:f>TRIM(B366)</x:f>
        <x:v>R06</x:v>
      </x:c>
      <x:c r="D366" t="str">
        <x:v>Khách hàng 365</x:v>
      </x:c>
      <x:c r="E366" s="12" t="n">
        <x:f>IFERROR(VLOOKUP(C366,BangGia!$A$2:$D$7,4,FALSE),"Chưa có giá")</x:f>
        <x:v>42000</x:v>
      </x:c>
      <x:c r="F366" t="str">
        <x:v>Có</x:v>
      </x:c>
      <x:c r="G366" t="n">
        <x:v>130</x:v>
      </x:c>
    </x:row>
    <x:row r="367">
      <x:c r="A367" t="str">
        <x:v>VD0366</x:v>
      </x:c>
      <x:c r="B367" t="str">
        <x:v>R01</x:v>
      </x:c>
      <x:c r="C367" t="str">
        <x:f>TRIM(B367)</x:f>
        <x:v>R01</x:v>
      </x:c>
      <x:c r="D367" t="str">
        <x:v>Khách hàng 366</x:v>
      </x:c>
      <x:c r="E367" s="12" t="n">
        <x:f>IFERROR(VLOOKUP(C367,BangGia!$A$2:$D$7,4,FALSE),"Chưa có giá")</x:f>
        <x:v>22000</x:v>
      </x:c>
      <x:c r="F367" t="str">
        <x:v>Có</x:v>
      </x:c>
      <x:c r="G367" t="n">
        <x:v>143</x:v>
      </x:c>
    </x:row>
    <x:row r="368">
      <x:c r="A368" t="str">
        <x:v>VD0367</x:v>
      </x:c>
      <x:c r="B368" t="str">
        <x:v>R02</x:v>
      </x:c>
      <x:c r="C368" t="str">
        <x:f>TRIM(B368)</x:f>
        <x:v>R02</x:v>
      </x:c>
      <x:c r="D368" t="str">
        <x:v>Khách hàng 367</x:v>
      </x:c>
      <x:c r="E368" s="12" t="n">
        <x:f>IFERROR(VLOOKUP(C368,BangGia!$A$2:$D$7,4,FALSE),"Chưa có giá")</x:f>
        <x:v>45000</x:v>
      </x:c>
      <x:c r="F368" t="str">
        <x:v>Có</x:v>
      </x:c>
      <x:c r="G368" t="n">
        <x:v>156</x:v>
      </x:c>
    </x:row>
    <x:row r="369">
      <x:c r="A369" t="str">
        <x:v>VD0368</x:v>
      </x:c>
      <x:c r="B369" t="str">
        <x:v>R03</x:v>
      </x:c>
      <x:c r="C369" t="str">
        <x:f>TRIM(B369)</x:f>
        <x:v>R03</x:v>
      </x:c>
      <x:c r="D369" t="str">
        <x:v>Khách hàng 368</x:v>
      </x:c>
      <x:c r="E369" s="12" t="n">
        <x:f>IFERROR(VLOOKUP(C369,BangGia!$A$2:$D$7,4,FALSE),"Chưa có giá")</x:f>
        <x:v>38000</x:v>
      </x:c>
      <x:c r="F369" t="str">
        <x:v>Có</x:v>
      </x:c>
      <x:c r="G369" t="n">
        <x:v>169</x:v>
      </x:c>
    </x:row>
    <x:row r="370">
      <x:c r="A370" t="str">
        <x:v>VD0369</x:v>
      </x:c>
      <x:c r="B370" t="str">
        <x:v>R04 </x:v>
      </x:c>
      <x:c r="C370" t="str">
        <x:f>TRIM(B370)</x:f>
        <x:v>R04</x:v>
      </x:c>
      <x:c r="D370" t="str">
        <x:v>Khách hàng 369</x:v>
      </x:c>
      <x:c r="E370" s="12" t="n">
        <x:f>IFERROR(VLOOKUP(C370,BangGia!$A$2:$D$7,4,FALSE),"Chưa có giá")</x:f>
        <x:v>52000</x:v>
      </x:c>
      <x:c r="F370" t="str">
        <x:v>Không</x:v>
      </x:c>
      <x:c r="G370" t="n">
        <x:v>182</x:v>
      </x:c>
    </x:row>
    <x:row r="371">
      <x:c r="A371" t="str">
        <x:v>VD0370</x:v>
      </x:c>
      <x:c r="B371" t="str">
        <x:v>R05</x:v>
      </x:c>
      <x:c r="C371" t="str">
        <x:f>TRIM(B371)</x:f>
        <x:v>R05</x:v>
      </x:c>
      <x:c r="D371" t="str">
        <x:v>Khách hàng 370</x:v>
      </x:c>
      <x:c r="E371" s="12" t="n">
        <x:f>IFERROR(VLOOKUP(C371,BangGia!$A$2:$D$7,4,FALSE),"Chưa có giá")</x:f>
        <x:v>30000</x:v>
      </x:c>
      <x:c r="F371" t="str">
        <x:v>Có</x:v>
      </x:c>
      <x:c r="G371" t="n">
        <x:v>45</x:v>
      </x:c>
    </x:row>
    <x:row r="372">
      <x:c r="A372" t="str">
        <x:v>VD0371</x:v>
      </x:c>
      <x:c r="B372" t="str">
        <x:v>R06</x:v>
      </x:c>
      <x:c r="C372" t="str">
        <x:f>TRIM(B372)</x:f>
        <x:v>R06</x:v>
      </x:c>
      <x:c r="D372" t="str">
        <x:v>Khách hàng 371</x:v>
      </x:c>
      <x:c r="E372" s="12" t="n">
        <x:f>IFERROR(VLOOKUP(C372,BangGia!$A$2:$D$7,4,FALSE),"Chưa có giá")</x:f>
        <x:v>42000</x:v>
      </x:c>
      <x:c r="F372" t="str">
        <x:v>Có</x:v>
      </x:c>
      <x:c r="G372" t="n">
        <x:v>58</x:v>
      </x:c>
    </x:row>
    <x:row r="373">
      <x:c r="A373" t="str">
        <x:v>VD0372</x:v>
      </x:c>
      <x:c r="B373" t="str">
        <x:v>R01</x:v>
      </x:c>
      <x:c r="C373" t="str">
        <x:f>TRIM(B373)</x:f>
        <x:v>R01</x:v>
      </x:c>
      <x:c r="D373" t="str">
        <x:v>Khách hàng 372</x:v>
      </x:c>
      <x:c r="E373" s="12" t="n">
        <x:f>IFERROR(VLOOKUP(C373,BangGia!$A$2:$D$7,4,FALSE),"Chưa có giá")</x:f>
        <x:v>22000</x:v>
      </x:c>
      <x:c r="F373" t="str">
        <x:v>Có</x:v>
      </x:c>
      <x:c r="G373" t="n">
        <x:v>71</x:v>
      </x:c>
    </x:row>
    <x:row r="374">
      <x:c r="A374" t="str">
        <x:v>VD0373</x:v>
      </x:c>
      <x:c r="B374" t="str">
        <x:v>R02</x:v>
      </x:c>
      <x:c r="C374" t="str">
        <x:f>TRIM(B374)</x:f>
        <x:v>R02</x:v>
      </x:c>
      <x:c r="D374" t="str">
        <x:v>Khách hàng 373</x:v>
      </x:c>
      <x:c r="E374" s="12" t="n">
        <x:f>IFERROR(VLOOKUP(C374,BangGia!$A$2:$D$7,4,FALSE),"Chưa có giá")</x:f>
        <x:v>45000</x:v>
      </x:c>
      <x:c r="F374" t="str">
        <x:v>Có</x:v>
      </x:c>
      <x:c r="G374" t="n">
        <x:v>84</x:v>
      </x:c>
    </x:row>
    <x:row r="375">
      <x:c r="A375" t="str">
        <x:v>VD0374</x:v>
      </x:c>
      <x:c r="B375" t="str">
        <x:v>R03</x:v>
      </x:c>
      <x:c r="C375" t="str">
        <x:f>TRIM(B375)</x:f>
        <x:v>R03</x:v>
      </x:c>
      <x:c r="D375" t="str">
        <x:v>Khách hàng 374</x:v>
      </x:c>
      <x:c r="E375" s="12" t="n">
        <x:f>IFERROR(VLOOKUP(C375,BangGia!$A$2:$D$7,4,FALSE),"Chưa có giá")</x:f>
        <x:v>38000</x:v>
      </x:c>
      <x:c r="F375" t="str">
        <x:v>Có</x:v>
      </x:c>
      <x:c r="G375" t="n">
        <x:v>97</x:v>
      </x:c>
    </x:row>
    <x:row r="376">
      <x:c r="A376" t="str">
        <x:v>VD0375</x:v>
      </x:c>
      <x:c r="B376" t="str">
        <x:v>R04</x:v>
      </x:c>
      <x:c r="C376" t="str">
        <x:f>TRIM(B376)</x:f>
        <x:v>R04</x:v>
      </x:c>
      <x:c r="D376" t="str">
        <x:v>Khách hàng 375</x:v>
      </x:c>
      <x:c r="E376" s="12" t="n">
        <x:f>IFERROR(VLOOKUP(C376,BangGia!$A$2:$D$7,4,FALSE),"Chưa có giá")</x:f>
        <x:v>52000</x:v>
      </x:c>
      <x:c r="F376" t="str">
        <x:v>Có</x:v>
      </x:c>
      <x:c r="G376" t="n">
        <x:v>110</x:v>
      </x:c>
    </x:row>
    <x:row r="377">
      <x:c r="A377" t="str">
        <x:v>VD0376</x:v>
      </x:c>
      <x:c r="B377" t="str">
        <x:v>R05</x:v>
      </x:c>
      <x:c r="C377" t="str">
        <x:f>TRIM(B377)</x:f>
        <x:v>R05</x:v>
      </x:c>
      <x:c r="D377" t="str">
        <x:v>Khách hàng 376</x:v>
      </x:c>
      <x:c r="E377" s="12" t="n">
        <x:f>IFERROR(VLOOKUP(C377,BangGia!$A$2:$D$7,4,FALSE),"Chưa có giá")</x:f>
        <x:v>30000</x:v>
      </x:c>
      <x:c r="F377" t="str">
        <x:v>Có</x:v>
      </x:c>
      <x:c r="G377" t="n">
        <x:v>123</x:v>
      </x:c>
    </x:row>
    <x:row r="378">
      <x:c r="A378" t="str">
        <x:v>VD0377</x:v>
      </x:c>
      <x:c r="B378" t="str">
        <x:v>R06</x:v>
      </x:c>
      <x:c r="C378" t="str">
        <x:f>TRIM(B378)</x:f>
        <x:v>R06</x:v>
      </x:c>
      <x:c r="D378" t="str">
        <x:v>Khách hàng 377</x:v>
      </x:c>
      <x:c r="E378" s="12" t="n">
        <x:f>IFERROR(VLOOKUP(C378,BangGia!$A$2:$D$7,4,FALSE),"Chưa có giá")</x:f>
        <x:v>42000</x:v>
      </x:c>
      <x:c r="F378" t="str">
        <x:v>Có</x:v>
      </x:c>
      <x:c r="G378" t="n">
        <x:v>136</x:v>
      </x:c>
    </x:row>
    <x:row r="379">
      <x:c r="A379" t="str">
        <x:v>VD0378</x:v>
      </x:c>
      <x:c r="B379" t="str">
        <x:v>R01</x:v>
      </x:c>
      <x:c r="C379" t="str">
        <x:f>TRIM(B379)</x:f>
        <x:v>R01</x:v>
      </x:c>
      <x:c r="D379" t="str">
        <x:v>Khách hàng 378</x:v>
      </x:c>
      <x:c r="E379" s="12" t="n">
        <x:f>IFERROR(VLOOKUP(C379,BangGia!$A$2:$D$7,4,FALSE),"Chưa có giá")</x:f>
        <x:v>22000</x:v>
      </x:c>
      <x:c r="F379" t="str">
        <x:v>Không</x:v>
      </x:c>
      <x:c r="G379" t="n">
        <x:v>149</x:v>
      </x:c>
    </x:row>
    <x:row r="380">
      <x:c r="A380" t="str">
        <x:v>VD0379</x:v>
      </x:c>
      <x:c r="B380" t="str">
        <x:v>R02</x:v>
      </x:c>
      <x:c r="C380" t="str">
        <x:f>TRIM(B380)</x:f>
        <x:v>R02</x:v>
      </x:c>
      <x:c r="D380" t="str">
        <x:v>Khách hàng 379</x:v>
      </x:c>
      <x:c r="E380" s="12" t="n">
        <x:f>IFERROR(VLOOKUP(C380,BangGia!$A$2:$D$7,4,FALSE),"Chưa có giá")</x:f>
        <x:v>45000</x:v>
      </x:c>
      <x:c r="F380" t="str">
        <x:v>Có</x:v>
      </x:c>
      <x:c r="G380" t="n">
        <x:v>162</x:v>
      </x:c>
    </x:row>
    <x:row r="381">
      <x:c r="A381" t="str">
        <x:v>VD0380</x:v>
      </x:c>
      <x:c r="B381" t="str">
        <x:v>R03</x:v>
      </x:c>
      <x:c r="C381" t="str">
        <x:f>TRIM(B381)</x:f>
        <x:v>R03</x:v>
      </x:c>
      <x:c r="D381" t="str">
        <x:v>Khách hàng 380</x:v>
      </x:c>
      <x:c r="E381" s="12" t="n">
        <x:f>IFERROR(VLOOKUP(C381,BangGia!$A$2:$D$7,4,FALSE),"Chưa có giá")</x:f>
        <x:v>38000</x:v>
      </x:c>
      <x:c r="F381" t="str">
        <x:v>Có</x:v>
      </x:c>
      <x:c r="G381" t="n">
        <x:v>175</x:v>
      </x:c>
    </x:row>
    <x:row r="382">
      <x:c r="A382" t="str">
        <x:v>VD0381</x:v>
      </x:c>
      <x:c r="B382" t="str">
        <x:v>R04</x:v>
      </x:c>
      <x:c r="C382" t="str">
        <x:f>TRIM(B382)</x:f>
        <x:v>R04</x:v>
      </x:c>
      <x:c r="D382" t="str">
        <x:v>Khách hàng 381</x:v>
      </x:c>
      <x:c r="E382" s="12" t="n">
        <x:f>IFERROR(VLOOKUP(C382,BangGia!$A$2:$D$7,4,FALSE),"Chưa có giá")</x:f>
        <x:v>52000</x:v>
      </x:c>
      <x:c r="F382" t="str">
        <x:v>Có</x:v>
      </x:c>
      <x:c r="G382" t="n">
        <x:v>38</x:v>
      </x:c>
    </x:row>
    <x:row r="383">
      <x:c r="A383" t="str">
        <x:v>VD0382</x:v>
      </x:c>
      <x:c r="B383" t="str">
        <x:v>R05</x:v>
      </x:c>
      <x:c r="C383" t="str">
        <x:f>TRIM(B383)</x:f>
        <x:v>R05</x:v>
      </x:c>
      <x:c r="D383" t="str">
        <x:v>Khách hàng 382</x:v>
      </x:c>
      <x:c r="E383" s="12" t="n">
        <x:f>IFERROR(VLOOKUP(C383,BangGia!$A$2:$D$7,4,FALSE),"Chưa có giá")</x:f>
        <x:v>30000</x:v>
      </x:c>
      <x:c r="F383" t="str">
        <x:v>Có</x:v>
      </x:c>
      <x:c r="G383" t="n">
        <x:v>51</x:v>
      </x:c>
    </x:row>
    <x:row r="384">
      <x:c r="A384" t="str">
        <x:v>VD0383</x:v>
      </x:c>
      <x:c r="B384" t="str">
        <x:v>R06</x:v>
      </x:c>
      <x:c r="C384" t="str">
        <x:f>TRIM(B384)</x:f>
        <x:v>R06</x:v>
      </x:c>
      <x:c r="D384" t="str">
        <x:v>Khách hàng 383</x:v>
      </x:c>
      <x:c r="E384" s="12" t="n">
        <x:f>IFERROR(VLOOKUP(C384,BangGia!$A$2:$D$7,4,FALSE),"Chưa có giá")</x:f>
        <x:v>42000</x:v>
      </x:c>
      <x:c r="F384" t="str">
        <x:v>Có</x:v>
      </x:c>
      <x:c r="G384" t="n">
        <x:v>64</x:v>
      </x:c>
    </x:row>
    <x:row r="385">
      <x:c r="A385" t="str">
        <x:v>VD0384</x:v>
      </x:c>
      <x:c r="B385" t="str">
        <x:v>R01</x:v>
      </x:c>
      <x:c r="C385" t="str">
        <x:f>TRIM(B385)</x:f>
        <x:v>R01</x:v>
      </x:c>
      <x:c r="D385" t="str">
        <x:v>Khách hàng 384</x:v>
      </x:c>
      <x:c r="E385" s="12" t="n">
        <x:f>IFERROR(VLOOKUP(C385,BangGia!$A$2:$D$7,4,FALSE),"Chưa có giá")</x:f>
        <x:v>22000</x:v>
      </x:c>
      <x:c r="F385" t="str">
        <x:v>Có</x:v>
      </x:c>
      <x:c r="G385" t="n">
        <x:v>77</x:v>
      </x:c>
    </x:row>
    <x:row r="386">
      <x:c r="A386" t="str">
        <x:v>VD0385</x:v>
      </x:c>
      <x:c r="B386" t="str">
        <x:v>R02</x:v>
      </x:c>
      <x:c r="C386" t="str">
        <x:f>TRIM(B386)</x:f>
        <x:v>R02</x:v>
      </x:c>
      <x:c r="D386" t="str">
        <x:v>Khách hàng 385</x:v>
      </x:c>
      <x:c r="E386" s="12" t="n">
        <x:f>IFERROR(VLOOKUP(C386,BangGia!$A$2:$D$7,4,FALSE),"Chưa có giá")</x:f>
        <x:v>45000</x:v>
      </x:c>
      <x:c r="F386" t="str">
        <x:v>Có</x:v>
      </x:c>
      <x:c r="G386" t="n">
        <x:v>90</x:v>
      </x:c>
    </x:row>
    <x:row r="387">
      <x:c r="A387" t="str">
        <x:v>VD0386</x:v>
      </x:c>
      <x:c r="B387" t="str">
        <x:v>R03</x:v>
      </x:c>
      <x:c r="C387" t="str">
        <x:f>TRIM(B387)</x:f>
        <x:v>R03</x:v>
      </x:c>
      <x:c r="D387" t="str">
        <x:v>Khách hàng 386</x:v>
      </x:c>
      <x:c r="E387" s="12" t="n">
        <x:f>IFERROR(VLOOKUP(C387,BangGia!$A$2:$D$7,4,FALSE),"Chưa có giá")</x:f>
        <x:v>38000</x:v>
      </x:c>
      <x:c r="F387" t="str">
        <x:v>Có</x:v>
      </x:c>
      <x:c r="G387" t="n">
        <x:v>103</x:v>
      </x:c>
    </x:row>
    <x:row r="388">
      <x:c r="A388" t="str">
        <x:v>VD0387</x:v>
      </x:c>
      <x:c r="B388" t="str">
        <x:v>R04</x:v>
      </x:c>
      <x:c r="C388" t="str">
        <x:f>TRIM(B388)</x:f>
        <x:v>R04</x:v>
      </x:c>
      <x:c r="D388" t="str">
        <x:v>Khách hàng 387</x:v>
      </x:c>
      <x:c r="E388" s="12" t="n">
        <x:f>IFERROR(VLOOKUP(C388,BangGia!$A$2:$D$7,4,FALSE),"Chưa có giá")</x:f>
        <x:v>52000</x:v>
      </x:c>
      <x:c r="F388" t="str">
        <x:v>Không</x:v>
      </x:c>
      <x:c r="G388" t="n">
        <x:v>116</x:v>
      </x:c>
    </x:row>
    <x:row r="389">
      <x:c r="A389" t="str">
        <x:v>VD0388</x:v>
      </x:c>
      <x:c r="B389" t="str">
        <x:v>R05</x:v>
      </x:c>
      <x:c r="C389" t="str">
        <x:f>TRIM(B389)</x:f>
        <x:v>R05</x:v>
      </x:c>
      <x:c r="D389" t="str">
        <x:v>Khách hàng 388</x:v>
      </x:c>
      <x:c r="E389" s="12" t="n">
        <x:f>IFERROR(VLOOKUP(C389,BangGia!$A$2:$D$7,4,FALSE),"Chưa có giá")</x:f>
        <x:v>30000</x:v>
      </x:c>
      <x:c r="F389" t="str">
        <x:v>Có</x:v>
      </x:c>
      <x:c r="G389" t="n">
        <x:v>129</x:v>
      </x:c>
    </x:row>
    <x:row r="390">
      <x:c r="A390" t="str">
        <x:v>VD0389</x:v>
      </x:c>
      <x:c r="B390" t="str">
        <x:v>R06</x:v>
      </x:c>
      <x:c r="C390" t="str">
        <x:f>TRIM(B390)</x:f>
        <x:v>R06</x:v>
      </x:c>
      <x:c r="D390" t="str">
        <x:v>Khách hàng 389</x:v>
      </x:c>
      <x:c r="E390" s="12" t="n">
        <x:f>IFERROR(VLOOKUP(C390,BangGia!$A$2:$D$7,4,FALSE),"Chưa có giá")</x:f>
        <x:v>42000</x:v>
      </x:c>
      <x:c r="F390" t="str">
        <x:v>Có</x:v>
      </x:c>
      <x:c r="G390" t="n">
        <x:v>142</x:v>
      </x:c>
    </x:row>
    <x:row r="391">
      <x:c r="A391" t="str">
        <x:v>VD0390</x:v>
      </x:c>
      <x:c r="B391" t="str">
        <x:v>R01</x:v>
      </x:c>
      <x:c r="C391" t="str">
        <x:f>TRIM(B391)</x:f>
        <x:v>R01</x:v>
      </x:c>
      <x:c r="D391" t="str">
        <x:v>Khách hàng 390</x:v>
      </x:c>
      <x:c r="E391" s="12" t="n">
        <x:f>IFERROR(VLOOKUP(C391,BangGia!$A$2:$D$7,4,FALSE),"Chưa có giá")</x:f>
        <x:v>22000</x:v>
      </x:c>
      <x:c r="F391" t="str">
        <x:v>Có</x:v>
      </x:c>
      <x:c r="G391" t="n">
        <x:v>155</x:v>
      </x:c>
    </x:row>
    <x:row r="392">
      <x:c r="A392" t="str">
        <x:v>VD0391</x:v>
      </x:c>
      <x:c r="B392" t="str">
        <x:v>R02</x:v>
      </x:c>
      <x:c r="C392" t="str">
        <x:f>TRIM(B392)</x:f>
        <x:v>R02</x:v>
      </x:c>
      <x:c r="D392" t="str">
        <x:v>Khách hàng 391</x:v>
      </x:c>
      <x:c r="E392" s="12" t="n">
        <x:f>IFERROR(VLOOKUP(C392,BangGia!$A$2:$D$7,4,FALSE),"Chưa có giá")</x:f>
        <x:v>45000</x:v>
      </x:c>
      <x:c r="F392" t="str">
        <x:v>Có</x:v>
      </x:c>
      <x:c r="G392" t="n">
        <x:v>168</x:v>
      </x:c>
    </x:row>
    <x:row r="393">
      <x:c r="A393" t="str">
        <x:v>VD0392</x:v>
      </x:c>
      <x:c r="B393" t="str">
        <x:v>R03</x:v>
      </x:c>
      <x:c r="C393" t="str">
        <x:f>TRIM(B393)</x:f>
        <x:v>R03</x:v>
      </x:c>
      <x:c r="D393" t="str">
        <x:v>Khách hàng 392</x:v>
      </x:c>
      <x:c r="E393" s="12" t="n">
        <x:f>IFERROR(VLOOKUP(C393,BangGia!$A$2:$D$7,4,FALSE),"Chưa có giá")</x:f>
        <x:v>38000</x:v>
      </x:c>
      <x:c r="F393" t="str">
        <x:v>Có</x:v>
      </x:c>
      <x:c r="G393" t="n">
        <x:v>181</x:v>
      </x:c>
    </x:row>
    <x:row r="394">
      <x:c r="A394" t="str">
        <x:v>VD0393</x:v>
      </x:c>
      <x:c r="B394" t="str">
        <x:v>R04</x:v>
      </x:c>
      <x:c r="C394" t="str">
        <x:f>TRIM(B394)</x:f>
        <x:v>R04</x:v>
      </x:c>
      <x:c r="D394" t="str">
        <x:v>Khách hàng 393</x:v>
      </x:c>
      <x:c r="E394" s="12" t="n">
        <x:f>IFERROR(VLOOKUP(C394,BangGia!$A$2:$D$7,4,FALSE),"Chưa có giá")</x:f>
        <x:v>52000</x:v>
      </x:c>
      <x:c r="F394" t="str">
        <x:v>Có</x:v>
      </x:c>
      <x:c r="G394" t="n">
        <x:v>44</x:v>
      </x:c>
    </x:row>
    <x:row r="395">
      <x:c r="A395" t="str">
        <x:v>VD0394</x:v>
      </x:c>
      <x:c r="B395" t="str">
        <x:v>R05</x:v>
      </x:c>
      <x:c r="C395" t="str">
        <x:f>TRIM(B395)</x:f>
        <x:v>R05</x:v>
      </x:c>
      <x:c r="D395" t="str">
        <x:v>Khách hàng 394</x:v>
      </x:c>
      <x:c r="E395" s="12" t="n">
        <x:f>IFERROR(VLOOKUP(C395,BangGia!$A$2:$D$7,4,FALSE),"Chưa có giá")</x:f>
        <x:v>30000</x:v>
      </x:c>
      <x:c r="F395" t="str">
        <x:v>Có</x:v>
      </x:c>
      <x:c r="G395" t="n">
        <x:v>57</x:v>
      </x:c>
    </x:row>
    <x:row r="396">
      <x:c r="A396" t="str">
        <x:v>VD0395</x:v>
      </x:c>
      <x:c r="B396" t="str">
        <x:v>R06</x:v>
      </x:c>
      <x:c r="C396" t="str">
        <x:f>TRIM(B396)</x:f>
        <x:v>R06</x:v>
      </x:c>
      <x:c r="D396" t="str">
        <x:v>Khách hàng 395</x:v>
      </x:c>
      <x:c r="E396" s="12" t="n">
        <x:f>IFERROR(VLOOKUP(C396,BangGia!$A$2:$D$7,4,FALSE),"Chưa có giá")</x:f>
        <x:v>42000</x:v>
      </x:c>
      <x:c r="F396" t="str">
        <x:v>Có</x:v>
      </x:c>
      <x:c r="G396" t="n">
        <x:v>70</x:v>
      </x:c>
    </x:row>
    <x:row r="397">
      <x:c r="A397" t="str">
        <x:v>VD0396</x:v>
      </x:c>
      <x:c r="B397" t="str">
        <x:v>R01</x:v>
      </x:c>
      <x:c r="C397" t="str">
        <x:f>TRIM(B397)</x:f>
        <x:v>R01</x:v>
      </x:c>
      <x:c r="D397" t="str">
        <x:v>Khách hàng 396</x:v>
      </x:c>
      <x:c r="E397" s="12" t="n">
        <x:f>IFERROR(VLOOKUP(C397,BangGia!$A$2:$D$7,4,FALSE),"Chưa có giá")</x:f>
        <x:v>22000</x:v>
      </x:c>
      <x:c r="F397" t="str">
        <x:v>Không</x:v>
      </x:c>
      <x:c r="G397" t="n">
        <x:v>83</x:v>
      </x:c>
    </x:row>
    <x:row r="398">
      <x:c r="A398" t="str">
        <x:v>VD0397</x:v>
      </x:c>
      <x:c r="B398" t="str">
        <x:v>R02</x:v>
      </x:c>
      <x:c r="C398" t="str">
        <x:f>TRIM(B398)</x:f>
        <x:v>R02</x:v>
      </x:c>
      <x:c r="D398" t="str">
        <x:v>Khách hàng 397</x:v>
      </x:c>
      <x:c r="E398" s="12" t="n">
        <x:f>IFERROR(VLOOKUP(C398,BangGia!$A$2:$D$7,4,FALSE),"Chưa có giá")</x:f>
        <x:v>45000</x:v>
      </x:c>
      <x:c r="F398" t="str">
        <x:v>Có</x:v>
      </x:c>
      <x:c r="G398" t="n">
        <x:v>96</x:v>
      </x:c>
    </x:row>
    <x:row r="399">
      <x:c r="A399" t="str">
        <x:v>VD0398</x:v>
      </x:c>
      <x:c r="B399" t="str">
        <x:v>R03</x:v>
      </x:c>
      <x:c r="C399" t="str">
        <x:f>TRIM(B399)</x:f>
        <x:v>R03</x:v>
      </x:c>
      <x:c r="D399" t="str">
        <x:v>Khách hàng 398</x:v>
      </x:c>
      <x:c r="E399" s="12" t="n">
        <x:f>IFERROR(VLOOKUP(C399,BangGia!$A$2:$D$7,4,FALSE),"Chưa có giá")</x:f>
        <x:v>38000</x:v>
      </x:c>
      <x:c r="F399" t="str">
        <x:v>Có</x:v>
      </x:c>
      <x:c r="G399" t="n">
        <x:v>109</x:v>
      </x:c>
    </x:row>
    <x:row r="400">
      <x:c r="A400" t="str">
        <x:v>VD0399</x:v>
      </x:c>
      <x:c r="B400" t="str">
        <x:v>R04</x:v>
      </x:c>
      <x:c r="C400" t="str">
        <x:f>TRIM(B400)</x:f>
        <x:v>R04</x:v>
      </x:c>
      <x:c r="D400" t="str">
        <x:v>Khách hàng 399</x:v>
      </x:c>
      <x:c r="E400" s="12" t="n">
        <x:f>IFERROR(VLOOKUP(C400,BangGia!$A$2:$D$7,4,FALSE),"Chưa có giá")</x:f>
        <x:v>52000</x:v>
      </x:c>
      <x:c r="F400" t="str">
        <x:v>Có</x:v>
      </x:c>
      <x:c r="G400" t="n">
        <x:v>122</x:v>
      </x:c>
    </x:row>
    <x:row r="401">
      <x:c r="A401" t="str">
        <x:v>VD0400</x:v>
      </x:c>
      <x:c r="B401" t="str">
        <x:v>R05</x:v>
      </x:c>
      <x:c r="C401" t="str">
        <x:f>TRIM(B401)</x:f>
        <x:v>R05</x:v>
      </x:c>
      <x:c r="D401" t="str">
        <x:v>Khách hàng 400</x:v>
      </x:c>
      <x:c r="E401" s="12" t="n">
        <x:f>IFERROR(VLOOKUP(C401,BangGia!$A$2:$D$7,4,FALSE),"Chưa có giá")</x:f>
        <x:v>30000</x:v>
      </x:c>
      <x:c r="F401" t="str">
        <x:v>Có</x:v>
      </x:c>
      <x:c r="G401" t="n">
        <x:v>135</x:v>
      </x:c>
    </x:row>
    <x:row r="402">
      <x:c r="A402" t="str">
        <x:v>VD0401</x:v>
      </x:c>
      <x:c r="B402" t="str">
        <x:v>R06</x:v>
      </x:c>
      <x:c r="C402" t="str">
        <x:f>TRIM(B402)</x:f>
        <x:v>R06</x:v>
      </x:c>
      <x:c r="D402" t="str">
        <x:v>Khách hàng 401</x:v>
      </x:c>
      <x:c r="E402" s="12" t="n">
        <x:f>IFERROR(VLOOKUP(C402,BangGia!$A$2:$D$7,4,FALSE),"Chưa có giá")</x:f>
        <x:v>42000</x:v>
      </x:c>
      <x:c r="F402" t="str">
        <x:v>Có</x:v>
      </x:c>
      <x:c r="G402" t="n">
        <x:v>148</x:v>
      </x:c>
    </x:row>
    <x:row r="403">
      <x:c r="A403" t="str">
        <x:v>VD0402</x:v>
      </x:c>
      <x:c r="B403" t="str">
        <x:v>R01</x:v>
      </x:c>
      <x:c r="C403" t="str">
        <x:f>TRIM(B403)</x:f>
        <x:v>R01</x:v>
      </x:c>
      <x:c r="D403" t="str">
        <x:v>Khách hàng 402</x:v>
      </x:c>
      <x:c r="E403" s="12" t="n">
        <x:f>IFERROR(VLOOKUP(C403,BangGia!$A$2:$D$7,4,FALSE),"Chưa có giá")</x:f>
        <x:v>22000</x:v>
      </x:c>
      <x:c r="F403" t="str">
        <x:v>Có</x:v>
      </x:c>
      <x:c r="G403" t="n">
        <x:v>161</x:v>
      </x:c>
    </x:row>
    <x:row r="404">
      <x:c r="A404" t="str">
        <x:v>VD0403</x:v>
      </x:c>
      <x:c r="B404" t="str">
        <x:v>R02</x:v>
      </x:c>
      <x:c r="C404" t="str">
        <x:f>TRIM(B404)</x:f>
        <x:v>R02</x:v>
      </x:c>
      <x:c r="D404" t="str">
        <x:v>Khách hàng 403</x:v>
      </x:c>
      <x:c r="E404" s="12" t="n">
        <x:f>IFERROR(VLOOKUP(C404,BangGia!$A$2:$D$7,4,FALSE),"Chưa có giá")</x:f>
        <x:v>45000</x:v>
      </x:c>
      <x:c r="F404" t="str">
        <x:v>Có</x:v>
      </x:c>
      <x:c r="G404" t="n">
        <x:v>174</x:v>
      </x:c>
    </x:row>
    <x:row r="405">
      <x:c r="A405" t="str">
        <x:v>VD0404</x:v>
      </x:c>
      <x:c r="B405" t="str">
        <x:v>R03</x:v>
      </x:c>
      <x:c r="C405" t="str">
        <x:f>TRIM(B405)</x:f>
        <x:v>R03</x:v>
      </x:c>
      <x:c r="D405" t="str">
        <x:v>Khách hàng 404</x:v>
      </x:c>
      <x:c r="E405" s="12" t="n">
        <x:f>IFERROR(VLOOKUP(C405,BangGia!$A$2:$D$7,4,FALSE),"Chưa có giá")</x:f>
        <x:v>38000</x:v>
      </x:c>
      <x:c r="F405" t="str">
        <x:v>Có</x:v>
      </x:c>
      <x:c r="G405" t="n">
        <x:v>37</x:v>
      </x:c>
    </x:row>
    <x:row r="406">
      <x:c r="A406" t="str">
        <x:v>VD0405</x:v>
      </x:c>
      <x:c r="B406" t="str">
        <x:v>R04</x:v>
      </x:c>
      <x:c r="C406" t="str">
        <x:f>TRIM(B406)</x:f>
        <x:v>R04</x:v>
      </x:c>
      <x:c r="D406" t="str">
        <x:v>Khách hàng 405</x:v>
      </x:c>
      <x:c r="E406" s="12" t="n">
        <x:f>IFERROR(VLOOKUP(C406,BangGia!$A$2:$D$7,4,FALSE),"Chưa có giá")</x:f>
        <x:v>52000</x:v>
      </x:c>
      <x:c r="F406" t="str">
        <x:v>Không</x:v>
      </x:c>
      <x:c r="G406" t="n">
        <x:v>50</x:v>
      </x:c>
    </x:row>
    <x:row r="407">
      <x:c r="A407" t="str">
        <x:v>VD0406</x:v>
      </x:c>
      <x:c r="B407" t="str">
        <x:v>R05</x:v>
      </x:c>
      <x:c r="C407" t="str">
        <x:f>TRIM(B407)</x:f>
        <x:v>R05</x:v>
      </x:c>
      <x:c r="D407" t="str">
        <x:v>Khách hàng 406</x:v>
      </x:c>
      <x:c r="E407" s="12" t="n">
        <x:f>IFERROR(VLOOKUP(C407,BangGia!$A$2:$D$7,4,FALSE),"Chưa có giá")</x:f>
        <x:v>30000</x:v>
      </x:c>
      <x:c r="F407" t="str">
        <x:v>Có</x:v>
      </x:c>
      <x:c r="G407" t="n">
        <x:v>63</x:v>
      </x:c>
    </x:row>
    <x:row r="408">
      <x:c r="A408" t="str">
        <x:v>VD0407</x:v>
      </x:c>
      <x:c r="B408" t="str">
        <x:v>R06</x:v>
      </x:c>
      <x:c r="C408" t="str">
        <x:f>TRIM(B408)</x:f>
        <x:v>R06</x:v>
      </x:c>
      <x:c r="D408" t="str">
        <x:v>Khách hàng 407</x:v>
      </x:c>
      <x:c r="E408" s="12" t="n">
        <x:f>IFERROR(VLOOKUP(C408,BangGia!$A$2:$D$7,4,FALSE),"Chưa có giá")</x:f>
        <x:v>42000</x:v>
      </x:c>
      <x:c r="F408" t="str">
        <x:v>Có</x:v>
      </x:c>
      <x:c r="G408" t="n">
        <x:v>76</x:v>
      </x:c>
    </x:row>
    <x:row r="409">
      <x:c r="A409" t="str">
        <x:v>VD0408</x:v>
      </x:c>
      <x:c r="B409" t="str">
        <x:v>R01</x:v>
      </x:c>
      <x:c r="C409" t="str">
        <x:f>TRIM(B409)</x:f>
        <x:v>R01</x:v>
      </x:c>
      <x:c r="D409" t="str">
        <x:v>Khách hàng 408</x:v>
      </x:c>
      <x:c r="E409" s="12" t="n">
        <x:f>IFERROR(VLOOKUP(C409,BangGia!$A$2:$D$7,4,FALSE),"Chưa có giá")</x:f>
        <x:v>22000</x:v>
      </x:c>
      <x:c r="F409" t="str">
        <x:v>Có</x:v>
      </x:c>
      <x:c r="G409" t="n">
        <x:v>89</x:v>
      </x:c>
    </x:row>
    <x:row r="410">
      <x:c r="A410" t="str">
        <x:v>VD0409</x:v>
      </x:c>
      <x:c r="B410" t="str">
        <x:v>R02</x:v>
      </x:c>
      <x:c r="C410" t="str">
        <x:f>TRIM(B410)</x:f>
        <x:v>R02</x:v>
      </x:c>
      <x:c r="D410" t="str">
        <x:v>Khách hàng 409</x:v>
      </x:c>
      <x:c r="E410" s="12" t="n">
        <x:f>IFERROR(VLOOKUP(C410,BangGia!$A$2:$D$7,4,FALSE),"Chưa có giá")</x:f>
        <x:v>45000</x:v>
      </x:c>
      <x:c r="F410" t="str">
        <x:v>Có</x:v>
      </x:c>
      <x:c r="G410" t="n">
        <x:v>102</x:v>
      </x:c>
    </x:row>
    <x:row r="411">
      <x:c r="A411" t="str">
        <x:v>VD0410</x:v>
      </x:c>
      <x:c r="B411" t="str">
        <x:v>R03 </x:v>
      </x:c>
      <x:c r="C411" t="str">
        <x:f>TRIM(B411)</x:f>
        <x:v>R03</x:v>
      </x:c>
      <x:c r="D411" t="str">
        <x:v>Khách hàng 410</x:v>
      </x:c>
      <x:c r="E411" s="12" t="n">
        <x:f>IFERROR(VLOOKUP(C411,BangGia!$A$2:$D$7,4,FALSE),"Chưa có giá")</x:f>
        <x:v>38000</x:v>
      </x:c>
      <x:c r="F411" t="str">
        <x:v>Có</x:v>
      </x:c>
      <x:c r="G411" t="n">
        <x:v>115</x:v>
      </x:c>
    </x:row>
    <x:row r="412">
      <x:c r="A412" t="str">
        <x:v>VD0411</x:v>
      </x:c>
      <x:c r="B412" t="str">
        <x:v>R04</x:v>
      </x:c>
      <x:c r="C412" t="str">
        <x:f>TRIM(B412)</x:f>
        <x:v>R04</x:v>
      </x:c>
      <x:c r="D412" t="str">
        <x:v>Khách hàng 411</x:v>
      </x:c>
      <x:c r="E412" s="12" t="n">
        <x:f>IFERROR(VLOOKUP(C412,BangGia!$A$2:$D$7,4,FALSE),"Chưa có giá")</x:f>
        <x:v>52000</x:v>
      </x:c>
      <x:c r="F412" t="str">
        <x:v>Có</x:v>
      </x:c>
      <x:c r="G412" t="n">
        <x:v>128</x:v>
      </x:c>
    </x:row>
    <x:row r="413">
      <x:c r="A413" t="str">
        <x:v>VD0412</x:v>
      </x:c>
      <x:c r="B413" t="str">
        <x:v>R05</x:v>
      </x:c>
      <x:c r="C413" t="str">
        <x:f>TRIM(B413)</x:f>
        <x:v>R05</x:v>
      </x:c>
      <x:c r="D413" t="str">
        <x:v>Khách hàng 412</x:v>
      </x:c>
      <x:c r="E413" s="12" t="n">
        <x:f>IFERROR(VLOOKUP(C413,BangGia!$A$2:$D$7,4,FALSE),"Chưa có giá")</x:f>
        <x:v>30000</x:v>
      </x:c>
      <x:c r="F413" t="str">
        <x:v>Có</x:v>
      </x:c>
      <x:c r="G413" t="n">
        <x:v>141</x:v>
      </x:c>
    </x:row>
    <x:row r="414">
      <x:c r="A414" t="str">
        <x:v>VD0413</x:v>
      </x:c>
      <x:c r="B414" t="str">
        <x:v>R06</x:v>
      </x:c>
      <x:c r="C414" t="str">
        <x:f>TRIM(B414)</x:f>
        <x:v>R06</x:v>
      </x:c>
      <x:c r="D414" t="str">
        <x:v>Khách hàng 413</x:v>
      </x:c>
      <x:c r="E414" s="12" t="n">
        <x:f>IFERROR(VLOOKUP(C414,BangGia!$A$2:$D$7,4,FALSE),"Chưa có giá")</x:f>
        <x:v>42000</x:v>
      </x:c>
      <x:c r="F414" t="str">
        <x:v>Có</x:v>
      </x:c>
      <x:c r="G414" t="n">
        <x:v>154</x:v>
      </x:c>
    </x:row>
    <x:row r="415">
      <x:c r="A415" t="str">
        <x:v>VD0414</x:v>
      </x:c>
      <x:c r="B415" t="str">
        <x:v>R01</x:v>
      </x:c>
      <x:c r="C415" t="str">
        <x:f>TRIM(B415)</x:f>
        <x:v>R01</x:v>
      </x:c>
      <x:c r="D415" t="str">
        <x:v>Khách hàng 414</x:v>
      </x:c>
      <x:c r="E415" s="12" t="n">
        <x:f>IFERROR(VLOOKUP(C415,BangGia!$A$2:$D$7,4,FALSE),"Chưa có giá")</x:f>
        <x:v>22000</x:v>
      </x:c>
      <x:c r="F415" t="str">
        <x:v>Không</x:v>
      </x:c>
      <x:c r="G415" t="n">
        <x:v>167</x:v>
      </x:c>
    </x:row>
    <x:row r="416">
      <x:c r="A416" t="str">
        <x:v>VD0415</x:v>
      </x:c>
      <x:c r="B416" t="str">
        <x:v>R02</x:v>
      </x:c>
      <x:c r="C416" t="str">
        <x:f>TRIM(B416)</x:f>
        <x:v>R02</x:v>
      </x:c>
      <x:c r="D416" t="str">
        <x:v>Khách hàng 415</x:v>
      </x:c>
      <x:c r="E416" s="12" t="n">
        <x:f>IFERROR(VLOOKUP(C416,BangGia!$A$2:$D$7,4,FALSE),"Chưa có giá")</x:f>
        <x:v>45000</x:v>
      </x:c>
      <x:c r="F416" t="str">
        <x:v>Có</x:v>
      </x:c>
      <x:c r="G416" t="n">
        <x:v>180</x:v>
      </x:c>
    </x:row>
    <x:row r="417">
      <x:c r="A417" t="str">
        <x:v>VD0416</x:v>
      </x:c>
      <x:c r="B417" t="str">
        <x:v>R03</x:v>
      </x:c>
      <x:c r="C417" t="str">
        <x:f>TRIM(B417)</x:f>
        <x:v>R03</x:v>
      </x:c>
      <x:c r="D417" t="str">
        <x:v>Khách hàng 416</x:v>
      </x:c>
      <x:c r="E417" s="12" t="n">
        <x:f>IFERROR(VLOOKUP(C417,BangGia!$A$2:$D$7,4,FALSE),"Chưa có giá")</x:f>
        <x:v>38000</x:v>
      </x:c>
      <x:c r="F417" t="str">
        <x:v>Có</x:v>
      </x:c>
      <x:c r="G417" t="n">
        <x:v>43</x:v>
      </x:c>
    </x:row>
    <x:row r="418">
      <x:c r="A418" t="str">
        <x:v>VD0417</x:v>
      </x:c>
      <x:c r="B418" t="str">
        <x:v>R04</x:v>
      </x:c>
      <x:c r="C418" t="str">
        <x:f>TRIM(B418)</x:f>
        <x:v>R04</x:v>
      </x:c>
      <x:c r="D418" t="str">
        <x:v>Khách hàng 417</x:v>
      </x:c>
      <x:c r="E418" s="12" t="n">
        <x:f>IFERROR(VLOOKUP(C418,BangGia!$A$2:$D$7,4,FALSE),"Chưa có giá")</x:f>
        <x:v>52000</x:v>
      </x:c>
      <x:c r="F418" t="str">
        <x:v>Có</x:v>
      </x:c>
      <x:c r="G418" t="n">
        <x:v>56</x:v>
      </x:c>
    </x:row>
    <x:row r="419">
      <x:c r="A419" t="str">
        <x:v>VD0418</x:v>
      </x:c>
      <x:c r="B419" t="str">
        <x:v>R05</x:v>
      </x:c>
      <x:c r="C419" t="str">
        <x:f>TRIM(B419)</x:f>
        <x:v>R05</x:v>
      </x:c>
      <x:c r="D419" t="str">
        <x:v>Khách hàng 418</x:v>
      </x:c>
      <x:c r="E419" s="12" t="n">
        <x:f>IFERROR(VLOOKUP(C419,BangGia!$A$2:$D$7,4,FALSE),"Chưa có giá")</x:f>
        <x:v>30000</x:v>
      </x:c>
      <x:c r="F419" t="str">
        <x:v>Có</x:v>
      </x:c>
      <x:c r="G419" t="n">
        <x:v>69</x:v>
      </x:c>
    </x:row>
    <x:row r="420">
      <x:c r="A420" t="str">
        <x:v>VD0419</x:v>
      </x:c>
      <x:c r="B420" t="str">
        <x:v>R06</x:v>
      </x:c>
      <x:c r="C420" t="str">
        <x:f>TRIM(B420)</x:f>
        <x:v>R06</x:v>
      </x:c>
      <x:c r="D420" t="str">
        <x:v>Khách hàng 419</x:v>
      </x:c>
      <x:c r="E420" s="12" t="n">
        <x:f>IFERROR(VLOOKUP(C420,BangGia!$A$2:$D$7,4,FALSE),"Chưa có giá")</x:f>
        <x:v>42000</x:v>
      </x:c>
      <x:c r="F420" t="str">
        <x:v>Có</x:v>
      </x:c>
      <x:c r="G420" t="n">
        <x:v>82</x:v>
      </x:c>
    </x:row>
    <x:row r="421">
      <x:c r="A421" t="str">
        <x:v>VD0420</x:v>
      </x:c>
      <x:c r="B421" t="str">
        <x:v>R01</x:v>
      </x:c>
      <x:c r="C421" t="str">
        <x:f>TRIM(B421)</x:f>
        <x:v>R01</x:v>
      </x:c>
      <x:c r="D421" t="str">
        <x:v>Khách hàng 420</x:v>
      </x:c>
      <x:c r="E421" s="12" t="n">
        <x:f>IFERROR(VLOOKUP(C421,BangGia!$A$2:$D$7,4,FALSE),"Chưa có giá")</x:f>
        <x:v>22000</x:v>
      </x:c>
      <x:c r="F421" t="str">
        <x:v>Có</x:v>
      </x:c>
      <x:c r="G421" t="n">
        <x:v>95</x:v>
      </x:c>
    </x:row>
    <x:row r="422">
      <x:c r="A422" t="str">
        <x:v>VD0421</x:v>
      </x:c>
      <x:c r="B422" t="str">
        <x:v>R02</x:v>
      </x:c>
      <x:c r="C422" t="str">
        <x:f>TRIM(B422)</x:f>
        <x:v>R02</x:v>
      </x:c>
      <x:c r="D422" t="str">
        <x:v>Khách hàng 421</x:v>
      </x:c>
      <x:c r="E422" s="12" t="n">
        <x:f>IFERROR(VLOOKUP(C422,BangGia!$A$2:$D$7,4,FALSE),"Chưa có giá")</x:f>
        <x:v>45000</x:v>
      </x:c>
      <x:c r="F422" t="str">
        <x:v>Có</x:v>
      </x:c>
      <x:c r="G422" t="n">
        <x:v>108</x:v>
      </x:c>
    </x:row>
    <x:row r="423">
      <x:c r="A423" t="str">
        <x:v>VD0422</x:v>
      </x:c>
      <x:c r="B423" t="str">
        <x:v>R03</x:v>
      </x:c>
      <x:c r="C423" t="str">
        <x:f>TRIM(B423)</x:f>
        <x:v>R03</x:v>
      </x:c>
      <x:c r="D423" t="str">
        <x:v>Khách hàng 422</x:v>
      </x:c>
      <x:c r="E423" s="12" t="n">
        <x:f>IFERROR(VLOOKUP(C423,BangGia!$A$2:$D$7,4,FALSE),"Chưa có giá")</x:f>
        <x:v>38000</x:v>
      </x:c>
      <x:c r="F423" t="str">
        <x:v>Có</x:v>
      </x:c>
      <x:c r="G423" t="n">
        <x:v>121</x:v>
      </x:c>
    </x:row>
    <x:row r="424">
      <x:c r="A424" t="str">
        <x:v>VD0423</x:v>
      </x:c>
      <x:c r="B424" t="str">
        <x:v>R04</x:v>
      </x:c>
      <x:c r="C424" t="str">
        <x:f>TRIM(B424)</x:f>
        <x:v>R04</x:v>
      </x:c>
      <x:c r="D424" t="str">
        <x:v>Khách hàng 423</x:v>
      </x:c>
      <x:c r="E424" s="12" t="n">
        <x:f>IFERROR(VLOOKUP(C424,BangGia!$A$2:$D$7,4,FALSE),"Chưa có giá")</x:f>
        <x:v>52000</x:v>
      </x:c>
      <x:c r="F424" t="str">
        <x:v>Không</x:v>
      </x:c>
      <x:c r="G424" t="n">
        <x:v>134</x:v>
      </x:c>
    </x:row>
    <x:row r="425">
      <x:c r="A425" t="str">
        <x:v>VD0424</x:v>
      </x:c>
      <x:c r="B425" t="str">
        <x:v>R05</x:v>
      </x:c>
      <x:c r="C425" t="str">
        <x:f>TRIM(B425)</x:f>
        <x:v>R05</x:v>
      </x:c>
      <x:c r="D425" t="str">
        <x:v>Khách hàng 424</x:v>
      </x:c>
      <x:c r="E425" s="12" t="n">
        <x:f>IFERROR(VLOOKUP(C425,BangGia!$A$2:$D$7,4,FALSE),"Chưa có giá")</x:f>
        <x:v>30000</x:v>
      </x:c>
      <x:c r="F425" t="str">
        <x:v>Có</x:v>
      </x:c>
      <x:c r="G425" t="n">
        <x:v>147</x:v>
      </x:c>
    </x:row>
    <x:row r="426">
      <x:c r="A426" t="str">
        <x:v>VD0425</x:v>
      </x:c>
      <x:c r="B426" t="str">
        <x:v>R06</x:v>
      </x:c>
      <x:c r="C426" t="str">
        <x:f>TRIM(B426)</x:f>
        <x:v>R06</x:v>
      </x:c>
      <x:c r="D426" t="str">
        <x:v>Khách hàng 425</x:v>
      </x:c>
      <x:c r="E426" s="12" t="n">
        <x:f>IFERROR(VLOOKUP(C426,BangGia!$A$2:$D$7,4,FALSE),"Chưa có giá")</x:f>
        <x:v>42000</x:v>
      </x:c>
      <x:c r="F426" t="str">
        <x:v>Có</x:v>
      </x:c>
      <x:c r="G426" t="n">
        <x:v>160</x:v>
      </x:c>
    </x:row>
    <x:row r="427">
      <x:c r="A427" t="str">
        <x:v>VD0426</x:v>
      </x:c>
      <x:c r="B427" t="str">
        <x:v>R01</x:v>
      </x:c>
      <x:c r="C427" t="str">
        <x:f>TRIM(B427)</x:f>
        <x:v>R01</x:v>
      </x:c>
      <x:c r="D427" t="str">
        <x:v>Khách hàng 426</x:v>
      </x:c>
      <x:c r="E427" s="12" t="n">
        <x:f>IFERROR(VLOOKUP(C427,BangGia!$A$2:$D$7,4,FALSE),"Chưa có giá")</x:f>
        <x:v>22000</x:v>
      </x:c>
      <x:c r="F427" t="str">
        <x:v>Có</x:v>
      </x:c>
      <x:c r="G427" t="n">
        <x:v>173</x:v>
      </x:c>
    </x:row>
    <x:row r="428">
      <x:c r="A428" t="str">
        <x:v>VD0427</x:v>
      </x:c>
      <x:c r="B428" t="str">
        <x:v>R02</x:v>
      </x:c>
      <x:c r="C428" t="str">
        <x:f>TRIM(B428)</x:f>
        <x:v>R02</x:v>
      </x:c>
      <x:c r="D428" t="str">
        <x:v>Khách hàng 427</x:v>
      </x:c>
      <x:c r="E428" s="12" t="n">
        <x:f>IFERROR(VLOOKUP(C428,BangGia!$A$2:$D$7,4,FALSE),"Chưa có giá")</x:f>
        <x:v>45000</x:v>
      </x:c>
      <x:c r="F428" t="str">
        <x:v>Có</x:v>
      </x:c>
      <x:c r="G428" t="n">
        <x:v>36</x:v>
      </x:c>
    </x:row>
    <x:row r="429">
      <x:c r="A429" t="str">
        <x:v>VD0428</x:v>
      </x:c>
      <x:c r="B429" t="str">
        <x:v>R03</x:v>
      </x:c>
      <x:c r="C429" t="str">
        <x:f>TRIM(B429)</x:f>
        <x:v>R03</x:v>
      </x:c>
      <x:c r="D429" t="str">
        <x:v>Khách hàng 428</x:v>
      </x:c>
      <x:c r="E429" s="12" t="n">
        <x:f>IFERROR(VLOOKUP(C429,BangGia!$A$2:$D$7,4,FALSE),"Chưa có giá")</x:f>
        <x:v>38000</x:v>
      </x:c>
      <x:c r="F429" t="str">
        <x:v>Có</x:v>
      </x:c>
      <x:c r="G429" t="n">
        <x:v>49</x:v>
      </x:c>
    </x:row>
    <x:row r="430">
      <x:c r="A430" t="str">
        <x:v>VD0429</x:v>
      </x:c>
      <x:c r="B430" t="str">
        <x:v>R04</x:v>
      </x:c>
      <x:c r="C430" t="str">
        <x:f>TRIM(B430)</x:f>
        <x:v>R04</x:v>
      </x:c>
      <x:c r="D430" t="str">
        <x:v>Khách hàng 429</x:v>
      </x:c>
      <x:c r="E430" s="12" t="n">
        <x:f>IFERROR(VLOOKUP(C430,BangGia!$A$2:$D$7,4,FALSE),"Chưa có giá")</x:f>
        <x:v>52000</x:v>
      </x:c>
      <x:c r="F430" t="str">
        <x:v>Có</x:v>
      </x:c>
      <x:c r="G430" t="n">
        <x:v>62</x:v>
      </x:c>
    </x:row>
    <x:row r="431">
      <x:c r="A431" t="str">
        <x:v>VD0430</x:v>
      </x:c>
      <x:c r="B431" t="str">
        <x:v>R05</x:v>
      </x:c>
      <x:c r="C431" t="str">
        <x:f>TRIM(B431)</x:f>
        <x:v>R05</x:v>
      </x:c>
      <x:c r="D431" t="str">
        <x:v>Khách hàng 430</x:v>
      </x:c>
      <x:c r="E431" s="12" t="n">
        <x:f>IFERROR(VLOOKUP(C431,BangGia!$A$2:$D$7,4,FALSE),"Chưa có giá")</x:f>
        <x:v>30000</x:v>
      </x:c>
      <x:c r="F431" t="str">
        <x:v>Có</x:v>
      </x:c>
      <x:c r="G431" t="n">
        <x:v>75</x:v>
      </x:c>
    </x:row>
    <x:row r="432">
      <x:c r="A432" t="str">
        <x:v>VD0431</x:v>
      </x:c>
      <x:c r="B432" t="str">
        <x:v>R06</x:v>
      </x:c>
      <x:c r="C432" t="str">
        <x:f>TRIM(B432)</x:f>
        <x:v>R06</x:v>
      </x:c>
      <x:c r="D432" t="str">
        <x:v>Khách hàng 431</x:v>
      </x:c>
      <x:c r="E432" s="12" t="n">
        <x:f>IFERROR(VLOOKUP(C432,BangGia!$A$2:$D$7,4,FALSE),"Chưa có giá")</x:f>
        <x:v>42000</x:v>
      </x:c>
      <x:c r="F432" t="str">
        <x:v>Có</x:v>
      </x:c>
      <x:c r="G432" t="n">
        <x:v>88</x:v>
      </x:c>
    </x:row>
    <x:row r="433">
      <x:c r="A433" t="str">
        <x:v>VD0432</x:v>
      </x:c>
      <x:c r="B433" t="str">
        <x:v>R01</x:v>
      </x:c>
      <x:c r="C433" t="str">
        <x:f>TRIM(B433)</x:f>
        <x:v>R01</x:v>
      </x:c>
      <x:c r="D433" t="str">
        <x:v>Khách hàng 432</x:v>
      </x:c>
      <x:c r="E433" s="12" t="n">
        <x:f>IFERROR(VLOOKUP(C433,BangGia!$A$2:$D$7,4,FALSE),"Chưa có giá")</x:f>
        <x:v>22000</x:v>
      </x:c>
      <x:c r="F433" t="str">
        <x:v>Không</x:v>
      </x:c>
      <x:c r="G433" t="n">
        <x:v>101</x:v>
      </x:c>
    </x:row>
    <x:row r="434">
      <x:c r="A434" t="str">
        <x:v>VD0433</x:v>
      </x:c>
      <x:c r="B434" t="str">
        <x:v>R02</x:v>
      </x:c>
      <x:c r="C434" t="str">
        <x:f>TRIM(B434)</x:f>
        <x:v>R02</x:v>
      </x:c>
      <x:c r="D434" t="str">
        <x:v>Khách hàng 433</x:v>
      </x:c>
      <x:c r="E434" s="12" t="n">
        <x:f>IFERROR(VLOOKUP(C434,BangGia!$A$2:$D$7,4,FALSE),"Chưa có giá")</x:f>
        <x:v>45000</x:v>
      </x:c>
      <x:c r="F434" t="str">
        <x:v>Có</x:v>
      </x:c>
      <x:c r="G434" t="n">
        <x:v>114</x:v>
      </x:c>
    </x:row>
    <x:row r="435">
      <x:c r="A435" t="str">
        <x:v>VD0434</x:v>
      </x:c>
      <x:c r="B435" t="str">
        <x:v>R03</x:v>
      </x:c>
      <x:c r="C435" t="str">
        <x:f>TRIM(B435)</x:f>
        <x:v>R03</x:v>
      </x:c>
      <x:c r="D435" t="str">
        <x:v>Khách hàng 434</x:v>
      </x:c>
      <x:c r="E435" s="12" t="n">
        <x:f>IFERROR(VLOOKUP(C435,BangGia!$A$2:$D$7,4,FALSE),"Chưa có giá")</x:f>
        <x:v>38000</x:v>
      </x:c>
      <x:c r="F435" t="str">
        <x:v>Có</x:v>
      </x:c>
      <x:c r="G435" t="n">
        <x:v>127</x:v>
      </x:c>
    </x:row>
    <x:row r="436">
      <x:c r="A436" t="str">
        <x:v>VD0435</x:v>
      </x:c>
      <x:c r="B436" t="str">
        <x:v>R04</x:v>
      </x:c>
      <x:c r="C436" t="str">
        <x:f>TRIM(B436)</x:f>
        <x:v>R04</x:v>
      </x:c>
      <x:c r="D436" t="str">
        <x:v>Khách hàng 435</x:v>
      </x:c>
      <x:c r="E436" s="12" t="n">
        <x:f>IFERROR(VLOOKUP(C436,BangGia!$A$2:$D$7,4,FALSE),"Chưa có giá")</x:f>
        <x:v>52000</x:v>
      </x:c>
      <x:c r="F436" t="str">
        <x:v>Có</x:v>
      </x:c>
      <x:c r="G436" t="n">
        <x:v>140</x:v>
      </x:c>
    </x:row>
    <x:row r="437">
      <x:c r="A437" t="str">
        <x:v>VD0436</x:v>
      </x:c>
      <x:c r="B437" t="str">
        <x:v>R05</x:v>
      </x:c>
      <x:c r="C437" t="str">
        <x:f>TRIM(B437)</x:f>
        <x:v>R05</x:v>
      </x:c>
      <x:c r="D437" t="str">
        <x:v>Khách hàng 436</x:v>
      </x:c>
      <x:c r="E437" s="12" t="n">
        <x:f>IFERROR(VLOOKUP(C437,BangGia!$A$2:$D$7,4,FALSE),"Chưa có giá")</x:f>
        <x:v>30000</x:v>
      </x:c>
      <x:c r="F437" t="str">
        <x:v>Có</x:v>
      </x:c>
      <x:c r="G437" t="n">
        <x:v>153</x:v>
      </x:c>
    </x:row>
    <x:row r="438">
      <x:c r="A438" t="str">
        <x:v>VD0437</x:v>
      </x:c>
      <x:c r="B438" t="str">
        <x:v>R06</x:v>
      </x:c>
      <x:c r="C438" t="str">
        <x:f>TRIM(B438)</x:f>
        <x:v>R06</x:v>
      </x:c>
      <x:c r="D438" t="str">
        <x:v>Khách hàng 437</x:v>
      </x:c>
      <x:c r="E438" s="12" t="n">
        <x:f>IFERROR(VLOOKUP(C438,BangGia!$A$2:$D$7,4,FALSE),"Chưa có giá")</x:f>
        <x:v>42000</x:v>
      </x:c>
      <x:c r="F438" t="str">
        <x:v>Có</x:v>
      </x:c>
      <x:c r="G438" t="n">
        <x:v>166</x:v>
      </x:c>
    </x:row>
    <x:row r="439">
      <x:c r="A439" t="str">
        <x:v>VD0438</x:v>
      </x:c>
      <x:c r="B439" t="str">
        <x:v>R01</x:v>
      </x:c>
      <x:c r="C439" t="str">
        <x:f>TRIM(B439)</x:f>
        <x:v>R01</x:v>
      </x:c>
      <x:c r="D439" t="str">
        <x:v>Khách hàng 438</x:v>
      </x:c>
      <x:c r="E439" s="12" t="n">
        <x:f>IFERROR(VLOOKUP(C439,BangGia!$A$2:$D$7,4,FALSE),"Chưa có giá")</x:f>
        <x:v>22000</x:v>
      </x:c>
      <x:c r="F439" t="str">
        <x:v>Có</x:v>
      </x:c>
      <x:c r="G439" t="n">
        <x:v>179</x:v>
      </x:c>
    </x:row>
    <x:row r="440">
      <x:c r="A440" t="str">
        <x:v>VD0439</x:v>
      </x:c>
      <x:c r="B440" t="str">
        <x:v>R02</x:v>
      </x:c>
      <x:c r="C440" t="str">
        <x:f>TRIM(B440)</x:f>
        <x:v>R02</x:v>
      </x:c>
      <x:c r="D440" t="str">
        <x:v>Khách hàng 439</x:v>
      </x:c>
      <x:c r="E440" s="12" t="n">
        <x:f>IFERROR(VLOOKUP(C440,BangGia!$A$2:$D$7,4,FALSE),"Chưa có giá")</x:f>
        <x:v>45000</x:v>
      </x:c>
      <x:c r="F440" t="str">
        <x:v>Có</x:v>
      </x:c>
      <x:c r="G440" t="n">
        <x:v>42</x:v>
      </x:c>
    </x:row>
    <x:row r="441">
      <x:c r="A441" t="str">
        <x:v>VD0440</x:v>
      </x:c>
      <x:c r="B441" t="str">
        <x:v>R03</x:v>
      </x:c>
      <x:c r="C441" t="str">
        <x:f>TRIM(B441)</x:f>
        <x:v>R03</x:v>
      </x:c>
      <x:c r="D441" t="str">
        <x:v>Khách hàng 440</x:v>
      </x:c>
      <x:c r="E441" s="12" t="n">
        <x:f>IFERROR(VLOOKUP(C441,BangGia!$A$2:$D$7,4,FALSE),"Chưa có giá")</x:f>
        <x:v>38000</x:v>
      </x:c>
      <x:c r="F441" t="str">
        <x:v>Có</x:v>
      </x:c>
      <x:c r="G441" t="n">
        <x:v>55</x:v>
      </x:c>
    </x:row>
    <x:row r="442">
      <x:c r="A442" t="str">
        <x:v>VD0441</x:v>
      </x:c>
      <x:c r="B442" t="str">
        <x:v>R04</x:v>
      </x:c>
      <x:c r="C442" t="str">
        <x:f>TRIM(B442)</x:f>
        <x:v>R04</x:v>
      </x:c>
      <x:c r="D442" t="str">
        <x:v>Khách hàng 441</x:v>
      </x:c>
      <x:c r="E442" s="12" t="n">
        <x:f>IFERROR(VLOOKUP(C442,BangGia!$A$2:$D$7,4,FALSE),"Chưa có giá")</x:f>
        <x:v>52000</x:v>
      </x:c>
      <x:c r="F442" t="str">
        <x:v>Không</x:v>
      </x:c>
      <x:c r="G442" t="n">
        <x:v>68</x:v>
      </x:c>
    </x:row>
    <x:row r="443">
      <x:c r="A443" t="str">
        <x:v>VD0442</x:v>
      </x:c>
      <x:c r="B443" t="str">
        <x:v>R05</x:v>
      </x:c>
      <x:c r="C443" t="str">
        <x:f>TRIM(B443)</x:f>
        <x:v>R05</x:v>
      </x:c>
      <x:c r="D443" t="str">
        <x:v>Khách hàng 442</x:v>
      </x:c>
      <x:c r="E443" s="12" t="n">
        <x:f>IFERROR(VLOOKUP(C443,BangGia!$A$2:$D$7,4,FALSE),"Chưa có giá")</x:f>
        <x:v>30000</x:v>
      </x:c>
      <x:c r="F443" t="str">
        <x:v>Có</x:v>
      </x:c>
      <x:c r="G443" t="n">
        <x:v>81</x:v>
      </x:c>
    </x:row>
    <x:row r="444">
      <x:c r="A444" t="str">
        <x:v>VD0443</x:v>
      </x:c>
      <x:c r="B444" t="str">
        <x:v>R06</x:v>
      </x:c>
      <x:c r="C444" t="str">
        <x:f>TRIM(B444)</x:f>
        <x:v>R06</x:v>
      </x:c>
      <x:c r="D444" t="str">
        <x:v>Khách hàng 443</x:v>
      </x:c>
      <x:c r="E444" s="12" t="n">
        <x:f>IFERROR(VLOOKUP(C444,BangGia!$A$2:$D$7,4,FALSE),"Chưa có giá")</x:f>
        <x:v>42000</x:v>
      </x:c>
      <x:c r="F444" t="str">
        <x:v>Có</x:v>
      </x:c>
      <x:c r="G444" t="n">
        <x:v>94</x:v>
      </x:c>
    </x:row>
    <x:row r="445">
      <x:c r="A445" t="str">
        <x:v>VD0444</x:v>
      </x:c>
      <x:c r="B445" t="str">
        <x:v>R01</x:v>
      </x:c>
      <x:c r="C445" t="str">
        <x:f>TRIM(B445)</x:f>
        <x:v>R01</x:v>
      </x:c>
      <x:c r="D445" t="str">
        <x:v>Khách hàng 444</x:v>
      </x:c>
      <x:c r="E445" s="12" t="n">
        <x:f>IFERROR(VLOOKUP(C445,BangGia!$A$2:$D$7,4,FALSE),"Chưa có giá")</x:f>
        <x:v>22000</x:v>
      </x:c>
      <x:c r="F445" t="str">
        <x:v>Có</x:v>
      </x:c>
      <x:c r="G445" t="n">
        <x:v>107</x:v>
      </x:c>
    </x:row>
    <x:row r="446">
      <x:c r="A446" t="str">
        <x:v>VD0445</x:v>
      </x:c>
      <x:c r="B446" t="str">
        <x:v>R02</x:v>
      </x:c>
      <x:c r="C446" t="str">
        <x:f>TRIM(B446)</x:f>
        <x:v>R02</x:v>
      </x:c>
      <x:c r="D446" t="str">
        <x:v>Khách hàng 445</x:v>
      </x:c>
      <x:c r="E446" s="12" t="n">
        <x:f>IFERROR(VLOOKUP(C446,BangGia!$A$2:$D$7,4,FALSE),"Chưa có giá")</x:f>
        <x:v>45000</x:v>
      </x:c>
      <x:c r="F446" t="str">
        <x:v>Có</x:v>
      </x:c>
      <x:c r="G446" t="n">
        <x:v>120</x:v>
      </x:c>
    </x:row>
    <x:row r="447">
      <x:c r="A447" t="str">
        <x:v>VD0446</x:v>
      </x:c>
      <x:c r="B447" t="str">
        <x:v>R03</x:v>
      </x:c>
      <x:c r="C447" t="str">
        <x:f>TRIM(B447)</x:f>
        <x:v>R03</x:v>
      </x:c>
      <x:c r="D447" t="str">
        <x:v>Khách hàng 446</x:v>
      </x:c>
      <x:c r="E447" s="12" t="n">
        <x:f>IFERROR(VLOOKUP(C447,BangGia!$A$2:$D$7,4,FALSE),"Chưa có giá")</x:f>
        <x:v>38000</x:v>
      </x:c>
      <x:c r="F447" t="str">
        <x:v>Có</x:v>
      </x:c>
      <x:c r="G447" t="n">
        <x:v>133</x:v>
      </x:c>
    </x:row>
    <x:row r="448">
      <x:c r="A448" t="str">
        <x:v>VD0447</x:v>
      </x:c>
      <x:c r="B448" t="str">
        <x:v>R04</x:v>
      </x:c>
      <x:c r="C448" t="str">
        <x:f>TRIM(B448)</x:f>
        <x:v>R04</x:v>
      </x:c>
      <x:c r="D448" t="str">
        <x:v>Khách hàng 447</x:v>
      </x:c>
      <x:c r="E448" s="12" t="n">
        <x:f>IFERROR(VLOOKUP(C448,BangGia!$A$2:$D$7,4,FALSE),"Chưa có giá")</x:f>
        <x:v>52000</x:v>
      </x:c>
      <x:c r="F448" t="str">
        <x:v>Có</x:v>
      </x:c>
      <x:c r="G448" t="n">
        <x:v>146</x:v>
      </x:c>
    </x:row>
    <x:row r="449">
      <x:c r="A449" t="str">
        <x:v>VD0448</x:v>
      </x:c>
      <x:c r="B449" t="str">
        <x:v>R05</x:v>
      </x:c>
      <x:c r="C449" t="str">
        <x:f>TRIM(B449)</x:f>
        <x:v>R05</x:v>
      </x:c>
      <x:c r="D449" t="str">
        <x:v>Khách hàng 448</x:v>
      </x:c>
      <x:c r="E449" s="12" t="n">
        <x:f>IFERROR(VLOOKUP(C449,BangGia!$A$2:$D$7,4,FALSE),"Chưa có giá")</x:f>
        <x:v>30000</x:v>
      </x:c>
      <x:c r="F449" t="str">
        <x:v>Có</x:v>
      </x:c>
      <x:c r="G449" t="n">
        <x:v>159</x:v>
      </x:c>
    </x:row>
    <x:row r="450">
      <x:c r="A450" t="str">
        <x:v>VD0449</x:v>
      </x:c>
      <x:c r="B450" t="str">
        <x:v>R06</x:v>
      </x:c>
      <x:c r="C450" t="str">
        <x:f>TRIM(B450)</x:f>
        <x:v>R06</x:v>
      </x:c>
      <x:c r="D450" t="str">
        <x:v>Khách hàng 449</x:v>
      </x:c>
      <x:c r="E450" s="12" t="n">
        <x:f>IFERROR(VLOOKUP(C450,BangGia!$A$2:$D$7,4,FALSE),"Chưa có giá")</x:f>
        <x:v>42000</x:v>
      </x:c>
      <x:c r="F450" t="str">
        <x:v>Có</x:v>
      </x:c>
      <x:c r="G450" t="n">
        <x:v>172</x:v>
      </x:c>
    </x:row>
    <x:row r="451">
      <x:c r="A451" t="str">
        <x:v>VD0450</x:v>
      </x:c>
      <x:c r="B451" t="str">
        <x:v>R01</x:v>
      </x:c>
      <x:c r="C451" t="str">
        <x:f>TRIM(B451)</x:f>
        <x:v>R01</x:v>
      </x:c>
      <x:c r="D451" t="str">
        <x:v>Khách hàng 450</x:v>
      </x:c>
      <x:c r="E451" s="12" t="n">
        <x:f>IFERROR(VLOOKUP(C451,BangGia!$A$2:$D$7,4,FALSE),"Chưa có giá")</x:f>
        <x:v>22000</x:v>
      </x:c>
      <x:c r="F451" t="str">
        <x:v>Không</x:v>
      </x:c>
      <x:c r="G451" t="n">
        <x:v>35</x:v>
      </x:c>
    </x:row>
    <x:row r="452">
      <x:c r="A452" t="str">
        <x:v>VD0451</x:v>
      </x:c>
      <x:c r="B452" t="str">
        <x:v>R02 </x:v>
      </x:c>
      <x:c r="C452" t="str">
        <x:f>TRIM(B452)</x:f>
        <x:v>R02</x:v>
      </x:c>
      <x:c r="D452" t="str">
        <x:v>Khách hàng 451</x:v>
      </x:c>
      <x:c r="E452" s="12" t="n">
        <x:f>IFERROR(VLOOKUP(C452,BangGia!$A$2:$D$7,4,FALSE),"Chưa có giá")</x:f>
        <x:v>45000</x:v>
      </x:c>
      <x:c r="F452" t="str">
        <x:v>Có</x:v>
      </x:c>
      <x:c r="G452" t="n">
        <x:v>48</x:v>
      </x:c>
    </x:row>
    <x:row r="453">
      <x:c r="A453" t="str">
        <x:v>VD0452</x:v>
      </x:c>
      <x:c r="B453" t="str">
        <x:v>R03</x:v>
      </x:c>
      <x:c r="C453" t="str">
        <x:f>TRIM(B453)</x:f>
        <x:v>R03</x:v>
      </x:c>
      <x:c r="D453" t="str">
        <x:v>Khách hàng 452</x:v>
      </x:c>
      <x:c r="E453" s="12" t="n">
        <x:f>IFERROR(VLOOKUP(C453,BangGia!$A$2:$D$7,4,FALSE),"Chưa có giá")</x:f>
        <x:v>38000</x:v>
      </x:c>
      <x:c r="F453" t="str">
        <x:v>Có</x:v>
      </x:c>
      <x:c r="G453" t="n">
        <x:v>61</x:v>
      </x:c>
    </x:row>
    <x:row r="454">
      <x:c r="A454" t="str">
        <x:v>VD0453</x:v>
      </x:c>
      <x:c r="B454" t="str">
        <x:v>R04</x:v>
      </x:c>
      <x:c r="C454" t="str">
        <x:f>TRIM(B454)</x:f>
        <x:v>R04</x:v>
      </x:c>
      <x:c r="D454" t="str">
        <x:v>Khách hàng 453</x:v>
      </x:c>
      <x:c r="E454" s="12" t="n">
        <x:f>IFERROR(VLOOKUP(C454,BangGia!$A$2:$D$7,4,FALSE),"Chưa có giá")</x:f>
        <x:v>52000</x:v>
      </x:c>
      <x:c r="F454" t="str">
        <x:v>Có</x:v>
      </x:c>
      <x:c r="G454" t="n">
        <x:v>74</x:v>
      </x:c>
    </x:row>
    <x:row r="455">
      <x:c r="A455" t="str">
        <x:v>VD0454</x:v>
      </x:c>
      <x:c r="B455" t="str">
        <x:v>R05</x:v>
      </x:c>
      <x:c r="C455" t="str">
        <x:f>TRIM(B455)</x:f>
        <x:v>R05</x:v>
      </x:c>
      <x:c r="D455" t="str">
        <x:v>Khách hàng 454</x:v>
      </x:c>
      <x:c r="E455" s="12" t="n">
        <x:f>IFERROR(VLOOKUP(C455,BangGia!$A$2:$D$7,4,FALSE),"Chưa có giá")</x:f>
        <x:v>30000</x:v>
      </x:c>
      <x:c r="F455" t="str">
        <x:v>Có</x:v>
      </x:c>
      <x:c r="G455" t="n">
        <x:v>87</x:v>
      </x:c>
    </x:row>
    <x:row r="456">
      <x:c r="A456" t="str">
        <x:v>VD0455</x:v>
      </x:c>
      <x:c r="B456" t="str">
        <x:v>R06</x:v>
      </x:c>
      <x:c r="C456" t="str">
        <x:f>TRIM(B456)</x:f>
        <x:v>R06</x:v>
      </x:c>
      <x:c r="D456" t="str">
        <x:v>Khách hàng 455</x:v>
      </x:c>
      <x:c r="E456" s="12" t="n">
        <x:f>IFERROR(VLOOKUP(C456,BangGia!$A$2:$D$7,4,FALSE),"Chưa có giá")</x:f>
        <x:v>42000</x:v>
      </x:c>
      <x:c r="F456" t="str">
        <x:v>Có</x:v>
      </x:c>
      <x:c r="G456" t="n">
        <x:v>100</x:v>
      </x:c>
    </x:row>
    <x:row r="457">
      <x:c r="A457" t="str">
        <x:v>VD0456</x:v>
      </x:c>
      <x:c r="B457" t="str">
        <x:v>R01</x:v>
      </x:c>
      <x:c r="C457" t="str">
        <x:f>TRIM(B457)</x:f>
        <x:v>R01</x:v>
      </x:c>
      <x:c r="D457" t="str">
        <x:v>Khách hàng 456</x:v>
      </x:c>
      <x:c r="E457" s="12" t="n">
        <x:f>IFERROR(VLOOKUP(C457,BangGia!$A$2:$D$7,4,FALSE),"Chưa có giá")</x:f>
        <x:v>22000</x:v>
      </x:c>
      <x:c r="F457" t="str">
        <x:v>Có</x:v>
      </x:c>
      <x:c r="G457" t="n">
        <x:v>113</x:v>
      </x:c>
    </x:row>
    <x:row r="458">
      <x:c r="A458" t="str">
        <x:v>VD0457</x:v>
      </x:c>
      <x:c r="B458" t="str">
        <x:v>R02</x:v>
      </x:c>
      <x:c r="C458" t="str">
        <x:f>TRIM(B458)</x:f>
        <x:v>R02</x:v>
      </x:c>
      <x:c r="D458" t="str">
        <x:v>Khách hàng 457</x:v>
      </x:c>
      <x:c r="E458" s="12" t="n">
        <x:f>IFERROR(VLOOKUP(C458,BangGia!$A$2:$D$7,4,FALSE),"Chưa có giá")</x:f>
        <x:v>45000</x:v>
      </x:c>
      <x:c r="F458" t="str">
        <x:v>Có</x:v>
      </x:c>
      <x:c r="G458" t="n">
        <x:v>126</x:v>
      </x:c>
    </x:row>
    <x:row r="459">
      <x:c r="A459" t="str">
        <x:v>VD0458</x:v>
      </x:c>
      <x:c r="B459" t="str">
        <x:v>R03</x:v>
      </x:c>
      <x:c r="C459" t="str">
        <x:f>TRIM(B459)</x:f>
        <x:v>R03</x:v>
      </x:c>
      <x:c r="D459" t="str">
        <x:v>Khách hàng 458</x:v>
      </x:c>
      <x:c r="E459" s="12" t="n">
        <x:f>IFERROR(VLOOKUP(C459,BangGia!$A$2:$D$7,4,FALSE),"Chưa có giá")</x:f>
        <x:v>38000</x:v>
      </x:c>
      <x:c r="F459" t="str">
        <x:v>Có</x:v>
      </x:c>
      <x:c r="G459" t="n">
        <x:v>139</x:v>
      </x:c>
    </x:row>
    <x:row r="460">
      <x:c r="A460" t="str">
        <x:v>VD0459</x:v>
      </x:c>
      <x:c r="B460" t="str">
        <x:v>R04</x:v>
      </x:c>
      <x:c r="C460" t="str">
        <x:f>TRIM(B460)</x:f>
        <x:v>R04</x:v>
      </x:c>
      <x:c r="D460" t="str">
        <x:v>Khách hàng 459</x:v>
      </x:c>
      <x:c r="E460" s="12" t="n">
        <x:f>IFERROR(VLOOKUP(C460,BangGia!$A$2:$D$7,4,FALSE),"Chưa có giá")</x:f>
        <x:v>52000</x:v>
      </x:c>
      <x:c r="F460" t="str">
        <x:v>Không</x:v>
      </x:c>
      <x:c r="G460" t="n">
        <x:v>152</x:v>
      </x:c>
    </x:row>
    <x:row r="461">
      <x:c r="A461" t="str">
        <x:v>VD0460</x:v>
      </x:c>
      <x:c r="B461" t="str">
        <x:v>R05</x:v>
      </x:c>
      <x:c r="C461" t="str">
        <x:f>TRIM(B461)</x:f>
        <x:v>R05</x:v>
      </x:c>
      <x:c r="D461" t="str">
        <x:v>Khách hàng 460</x:v>
      </x:c>
      <x:c r="E461" s="12" t="n">
        <x:f>IFERROR(VLOOKUP(C461,BangGia!$A$2:$D$7,4,FALSE),"Chưa có giá")</x:f>
        <x:v>30000</x:v>
      </x:c>
      <x:c r="F461" t="str">
        <x:v>Có</x:v>
      </x:c>
      <x:c r="G461" t="n">
        <x:v>165</x:v>
      </x:c>
    </x:row>
    <x:row r="462">
      <x:c r="A462" t="str">
        <x:v>VD0461</x:v>
      </x:c>
      <x:c r="B462" t="str">
        <x:v>R06</x:v>
      </x:c>
      <x:c r="C462" t="str">
        <x:f>TRIM(B462)</x:f>
        <x:v>R06</x:v>
      </x:c>
      <x:c r="D462" t="str">
        <x:v>Khách hàng 461</x:v>
      </x:c>
      <x:c r="E462" s="12" t="n">
        <x:f>IFERROR(VLOOKUP(C462,BangGia!$A$2:$D$7,4,FALSE),"Chưa có giá")</x:f>
        <x:v>42000</x:v>
      </x:c>
      <x:c r="F462" t="str">
        <x:v>Có</x:v>
      </x:c>
      <x:c r="G462" t="n">
        <x:v>178</x:v>
      </x:c>
    </x:row>
    <x:row r="463">
      <x:c r="A463" t="str">
        <x:v>VD0462</x:v>
      </x:c>
      <x:c r="B463" t="str">
        <x:v>R01</x:v>
      </x:c>
      <x:c r="C463" t="str">
        <x:f>TRIM(B463)</x:f>
        <x:v>R01</x:v>
      </x:c>
      <x:c r="D463" t="str">
        <x:v>Khách hàng 462</x:v>
      </x:c>
      <x:c r="E463" s="12" t="n">
        <x:f>IFERROR(VLOOKUP(C463,BangGia!$A$2:$D$7,4,FALSE),"Chưa có giá")</x:f>
        <x:v>22000</x:v>
      </x:c>
      <x:c r="F463" t="str">
        <x:v>Có</x:v>
      </x:c>
      <x:c r="G463" t="n">
        <x:v>41</x:v>
      </x:c>
    </x:row>
    <x:row r="464">
      <x:c r="A464" t="str">
        <x:v>VD0463</x:v>
      </x:c>
      <x:c r="B464" t="str">
        <x:v>R02</x:v>
      </x:c>
      <x:c r="C464" t="str">
        <x:f>TRIM(B464)</x:f>
        <x:v>R02</x:v>
      </x:c>
      <x:c r="D464" t="str">
        <x:v>Khách hàng 463</x:v>
      </x:c>
      <x:c r="E464" s="12" t="n">
        <x:f>IFERROR(VLOOKUP(C464,BangGia!$A$2:$D$7,4,FALSE),"Chưa có giá")</x:f>
        <x:v>45000</x:v>
      </x:c>
      <x:c r="F464" t="str">
        <x:v>Có</x:v>
      </x:c>
      <x:c r="G464" t="n">
        <x:v>54</x:v>
      </x:c>
    </x:row>
    <x:row r="465">
      <x:c r="A465" t="str">
        <x:v>VD0464</x:v>
      </x:c>
      <x:c r="B465" t="str">
        <x:v>R03</x:v>
      </x:c>
      <x:c r="C465" t="str">
        <x:f>TRIM(B465)</x:f>
        <x:v>R03</x:v>
      </x:c>
      <x:c r="D465" t="str">
        <x:v>Khách hàng 464</x:v>
      </x:c>
      <x:c r="E465" s="12" t="n">
        <x:f>IFERROR(VLOOKUP(C465,BangGia!$A$2:$D$7,4,FALSE),"Chưa có giá")</x:f>
        <x:v>38000</x:v>
      </x:c>
      <x:c r="F465" t="str">
        <x:v>Có</x:v>
      </x:c>
      <x:c r="G465" t="n">
        <x:v>67</x:v>
      </x:c>
    </x:row>
    <x:row r="466">
      <x:c r="A466" t="str">
        <x:v>VD0465</x:v>
      </x:c>
      <x:c r="B466" t="str">
        <x:v>R04</x:v>
      </x:c>
      <x:c r="C466" t="str">
        <x:f>TRIM(B466)</x:f>
        <x:v>R04</x:v>
      </x:c>
      <x:c r="D466" t="str">
        <x:v>Khách hàng 465</x:v>
      </x:c>
      <x:c r="E466" s="12" t="n">
        <x:f>IFERROR(VLOOKUP(C466,BangGia!$A$2:$D$7,4,FALSE),"Chưa có giá")</x:f>
        <x:v>52000</x:v>
      </x:c>
      <x:c r="F466" t="str">
        <x:v>Có</x:v>
      </x:c>
      <x:c r="G466" t="n">
        <x:v>80</x:v>
      </x:c>
    </x:row>
    <x:row r="467">
      <x:c r="A467" t="str">
        <x:v>VD0466</x:v>
      </x:c>
      <x:c r="B467" t="str">
        <x:v>R05</x:v>
      </x:c>
      <x:c r="C467" t="str">
        <x:f>TRIM(B467)</x:f>
        <x:v>R05</x:v>
      </x:c>
      <x:c r="D467" t="str">
        <x:v>Khách hàng 466</x:v>
      </x:c>
      <x:c r="E467" s="12" t="n">
        <x:f>IFERROR(VLOOKUP(C467,BangGia!$A$2:$D$7,4,FALSE),"Chưa có giá")</x:f>
        <x:v>30000</x:v>
      </x:c>
      <x:c r="F467" t="str">
        <x:v>Có</x:v>
      </x:c>
      <x:c r="G467" t="n">
        <x:v>93</x:v>
      </x:c>
    </x:row>
    <x:row r="468">
      <x:c r="A468" t="str">
        <x:v>VD0467</x:v>
      </x:c>
      <x:c r="B468" t="str">
        <x:v>R06</x:v>
      </x:c>
      <x:c r="C468" t="str">
        <x:f>TRIM(B468)</x:f>
        <x:v>R06</x:v>
      </x:c>
      <x:c r="D468" t="str">
        <x:v>Khách hàng 467</x:v>
      </x:c>
      <x:c r="E468" s="12" t="n">
        <x:f>IFERROR(VLOOKUP(C468,BangGia!$A$2:$D$7,4,FALSE),"Chưa có giá")</x:f>
        <x:v>42000</x:v>
      </x:c>
      <x:c r="F468" t="str">
        <x:v>Có</x:v>
      </x:c>
      <x:c r="G468" t="n">
        <x:v>106</x:v>
      </x:c>
    </x:row>
    <x:row r="469">
      <x:c r="A469" t="str">
        <x:v>VD0468</x:v>
      </x:c>
      <x:c r="B469" t="str">
        <x:v>R01</x:v>
      </x:c>
      <x:c r="C469" t="str">
        <x:f>TRIM(B469)</x:f>
        <x:v>R01</x:v>
      </x:c>
      <x:c r="D469" t="str">
        <x:v>Khách hàng 468</x:v>
      </x:c>
      <x:c r="E469" s="12" t="n">
        <x:f>IFERROR(VLOOKUP(C469,BangGia!$A$2:$D$7,4,FALSE),"Chưa có giá")</x:f>
        <x:v>22000</x:v>
      </x:c>
      <x:c r="F469" t="str">
        <x:v>Không</x:v>
      </x:c>
      <x:c r="G469" t="n">
        <x:v>119</x:v>
      </x:c>
    </x:row>
    <x:row r="470">
      <x:c r="A470" t="str">
        <x:v>VD0469</x:v>
      </x:c>
      <x:c r="B470" t="str">
        <x:v>R02</x:v>
      </x:c>
      <x:c r="C470" t="str">
        <x:f>TRIM(B470)</x:f>
        <x:v>R02</x:v>
      </x:c>
      <x:c r="D470" t="str">
        <x:v>Khách hàng 469</x:v>
      </x:c>
      <x:c r="E470" s="12" t="n">
        <x:f>IFERROR(VLOOKUP(C470,BangGia!$A$2:$D$7,4,FALSE),"Chưa có giá")</x:f>
        <x:v>45000</x:v>
      </x:c>
      <x:c r="F470" t="str">
        <x:v>Có</x:v>
      </x:c>
      <x:c r="G470" t="n">
        <x:v>132</x:v>
      </x:c>
    </x:row>
    <x:row r="471">
      <x:c r="A471" t="str">
        <x:v>VD0470</x:v>
      </x:c>
      <x:c r="B471" t="str">
        <x:v>R03</x:v>
      </x:c>
      <x:c r="C471" t="str">
        <x:f>TRIM(B471)</x:f>
        <x:v>R03</x:v>
      </x:c>
      <x:c r="D471" t="str">
        <x:v>Khách hàng 470</x:v>
      </x:c>
      <x:c r="E471" s="12" t="n">
        <x:f>IFERROR(VLOOKUP(C471,BangGia!$A$2:$D$7,4,FALSE),"Chưa có giá")</x:f>
        <x:v>38000</x:v>
      </x:c>
      <x:c r="F471" t="str">
        <x:v>Có</x:v>
      </x:c>
      <x:c r="G471" t="n">
        <x:v>145</x:v>
      </x:c>
    </x:row>
    <x:row r="472">
      <x:c r="A472" t="str">
        <x:v>VD0471</x:v>
      </x:c>
      <x:c r="B472" t="str">
        <x:v>R04</x:v>
      </x:c>
      <x:c r="C472" t="str">
        <x:f>TRIM(B472)</x:f>
        <x:v>R04</x:v>
      </x:c>
      <x:c r="D472" t="str">
        <x:v>Khách hàng 471</x:v>
      </x:c>
      <x:c r="E472" s="12" t="n">
        <x:f>IFERROR(VLOOKUP(C472,BangGia!$A$2:$D$7,4,FALSE),"Chưa có giá")</x:f>
        <x:v>52000</x:v>
      </x:c>
      <x:c r="F472" t="str">
        <x:v>Có</x:v>
      </x:c>
      <x:c r="G472" t="n">
        <x:v>158</x:v>
      </x:c>
    </x:row>
    <x:row r="473">
      <x:c r="A473" t="str">
        <x:v>VD0472</x:v>
      </x:c>
      <x:c r="B473" t="str">
        <x:v>R05</x:v>
      </x:c>
      <x:c r="C473" t="str">
        <x:f>TRIM(B473)</x:f>
        <x:v>R05</x:v>
      </x:c>
      <x:c r="D473" t="str">
        <x:v>Khách hàng 472</x:v>
      </x:c>
      <x:c r="E473" s="12" t="n">
        <x:f>IFERROR(VLOOKUP(C473,BangGia!$A$2:$D$7,4,FALSE),"Chưa có giá")</x:f>
        <x:v>30000</x:v>
      </x:c>
      <x:c r="F473" t="str">
        <x:v>Có</x:v>
      </x:c>
      <x:c r="G473" t="n">
        <x:v>171</x:v>
      </x:c>
    </x:row>
    <x:row r="474">
      <x:c r="A474" t="str">
        <x:v>VD0473</x:v>
      </x:c>
      <x:c r="B474" t="str">
        <x:v>R06</x:v>
      </x:c>
      <x:c r="C474" t="str">
        <x:f>TRIM(B474)</x:f>
        <x:v>R06</x:v>
      </x:c>
      <x:c r="D474" t="str">
        <x:v>Khách hàng 473</x:v>
      </x:c>
      <x:c r="E474" s="12" t="n">
        <x:f>IFERROR(VLOOKUP(C474,BangGia!$A$2:$D$7,4,FALSE),"Chưa có giá")</x:f>
        <x:v>42000</x:v>
      </x:c>
      <x:c r="F474" t="str">
        <x:v>Có</x:v>
      </x:c>
      <x:c r="G474" t="n">
        <x:v>184</x:v>
      </x:c>
    </x:row>
    <x:row r="475">
      <x:c r="A475" t="str">
        <x:v>VD0474</x:v>
      </x:c>
      <x:c r="B475" t="str">
        <x:v>R01</x:v>
      </x:c>
      <x:c r="C475" t="str">
        <x:f>TRIM(B475)</x:f>
        <x:v>R01</x:v>
      </x:c>
      <x:c r="D475" t="str">
        <x:v>Khách hàng 474</x:v>
      </x:c>
      <x:c r="E475" s="12" t="n">
        <x:f>IFERROR(VLOOKUP(C475,BangGia!$A$2:$D$7,4,FALSE),"Chưa có giá")</x:f>
        <x:v>22000</x:v>
      </x:c>
      <x:c r="F475" t="str">
        <x:v>Có</x:v>
      </x:c>
      <x:c r="G475" t="n">
        <x:v>47</x:v>
      </x:c>
    </x:row>
    <x:row r="476">
      <x:c r="A476" t="str">
        <x:v>VD0475</x:v>
      </x:c>
      <x:c r="B476" t="str">
        <x:v>R02</x:v>
      </x:c>
      <x:c r="C476" t="str">
        <x:f>TRIM(B476)</x:f>
        <x:v>R02</x:v>
      </x:c>
      <x:c r="D476" t="str">
        <x:v>Khách hàng 475</x:v>
      </x:c>
      <x:c r="E476" s="12" t="n">
        <x:f>IFERROR(VLOOKUP(C476,BangGia!$A$2:$D$7,4,FALSE),"Chưa có giá")</x:f>
        <x:v>45000</x:v>
      </x:c>
      <x:c r="F476" t="str">
        <x:v>Có</x:v>
      </x:c>
      <x:c r="G476" t="n">
        <x:v>60</x:v>
      </x:c>
    </x:row>
    <x:row r="477">
      <x:c r="A477" t="str">
        <x:v>VD0476</x:v>
      </x:c>
      <x:c r="B477" t="str">
        <x:v>R03</x:v>
      </x:c>
      <x:c r="C477" t="str">
        <x:f>TRIM(B477)</x:f>
        <x:v>R03</x:v>
      </x:c>
      <x:c r="D477" t="str">
        <x:v>Khách hàng 476</x:v>
      </x:c>
      <x:c r="E477" s="12" t="n">
        <x:f>IFERROR(VLOOKUP(C477,BangGia!$A$2:$D$7,4,FALSE),"Chưa có giá")</x:f>
        <x:v>38000</x:v>
      </x:c>
      <x:c r="F477" t="str">
        <x:v>Có</x:v>
      </x:c>
      <x:c r="G477" t="n">
        <x:v>73</x:v>
      </x:c>
    </x:row>
    <x:row r="478">
      <x:c r="A478" t="str">
        <x:v>VD0477</x:v>
      </x:c>
      <x:c r="B478" t="str">
        <x:v>R04</x:v>
      </x:c>
      <x:c r="C478" t="str">
        <x:f>TRIM(B478)</x:f>
        <x:v>R04</x:v>
      </x:c>
      <x:c r="D478" t="str">
        <x:v>Khách hàng 477</x:v>
      </x:c>
      <x:c r="E478" s="12" t="n">
        <x:f>IFERROR(VLOOKUP(C478,BangGia!$A$2:$D$7,4,FALSE),"Chưa có giá")</x:f>
        <x:v>52000</x:v>
      </x:c>
      <x:c r="F478" t="str">
        <x:v>Không</x:v>
      </x:c>
      <x:c r="G478" t="n">
        <x:v>86</x:v>
      </x:c>
    </x:row>
    <x:row r="479">
      <x:c r="A479" t="str">
        <x:v>VD0478</x:v>
      </x:c>
      <x:c r="B479" t="str">
        <x:v>R05</x:v>
      </x:c>
      <x:c r="C479" t="str">
        <x:f>TRIM(B479)</x:f>
        <x:v>R05</x:v>
      </x:c>
      <x:c r="D479" t="str">
        <x:v>Khách hàng 478</x:v>
      </x:c>
      <x:c r="E479" s="12" t="n">
        <x:f>IFERROR(VLOOKUP(C479,BangGia!$A$2:$D$7,4,FALSE),"Chưa có giá")</x:f>
        <x:v>30000</x:v>
      </x:c>
      <x:c r="F479" t="str">
        <x:v>Có</x:v>
      </x:c>
      <x:c r="G479" t="n">
        <x:v>99</x:v>
      </x:c>
    </x:row>
    <x:row r="480">
      <x:c r="A480" t="str">
        <x:v>VD0479</x:v>
      </x:c>
      <x:c r="B480" t="str">
        <x:v>R06</x:v>
      </x:c>
      <x:c r="C480" t="str">
        <x:f>TRIM(B480)</x:f>
        <x:v>R06</x:v>
      </x:c>
      <x:c r="D480" t="str">
        <x:v>Khách hàng 479</x:v>
      </x:c>
      <x:c r="E480" s="12" t="n">
        <x:f>IFERROR(VLOOKUP(C480,BangGia!$A$2:$D$7,4,FALSE),"Chưa có giá")</x:f>
        <x:v>42000</x:v>
      </x:c>
      <x:c r="F480" t="str">
        <x:v>Có</x:v>
      </x:c>
      <x:c r="G480" t="n">
        <x:v>112</x:v>
      </x:c>
    </x:row>
    <x:row r="481">
      <x:c r="A481" t="str">
        <x:v>VD0480</x:v>
      </x:c>
      <x:c r="B481" t="str">
        <x:v>R01</x:v>
      </x:c>
      <x:c r="C481" t="str">
        <x:f>TRIM(B481)</x:f>
        <x:v>R01</x:v>
      </x:c>
      <x:c r="D481" t="str">
        <x:v>Khách hàng 480</x:v>
      </x:c>
      <x:c r="E481" s="12" t="n">
        <x:f>IFERROR(VLOOKUP(C481,BangGia!$A$2:$D$7,4,FALSE),"Chưa có giá")</x:f>
        <x:v>22000</x:v>
      </x:c>
      <x:c r="F481" t="str">
        <x:v>Có</x:v>
      </x:c>
      <x:c r="G481" t="n">
        <x:v>125</x:v>
      </x:c>
    </x:row>
    <x:row r="482">
      <x:c r="A482" t="str">
        <x:v>VD0481</x:v>
      </x:c>
      <x:c r="B482" t="str">
        <x:v>R02</x:v>
      </x:c>
      <x:c r="C482" t="str">
        <x:f>TRIM(B482)</x:f>
        <x:v>R02</x:v>
      </x:c>
      <x:c r="D482" t="str">
        <x:v>Khách hàng 481</x:v>
      </x:c>
      <x:c r="E482" s="12" t="n">
        <x:f>IFERROR(VLOOKUP(C482,BangGia!$A$2:$D$7,4,FALSE),"Chưa có giá")</x:f>
        <x:v>45000</x:v>
      </x:c>
      <x:c r="F482" t="str">
        <x:v>Có</x:v>
      </x:c>
      <x:c r="G482" t="n">
        <x:v>138</x:v>
      </x:c>
    </x:row>
    <x:row r="483">
      <x:c r="A483" t="str">
        <x:v>VD0482</x:v>
      </x:c>
      <x:c r="B483" t="str">
        <x:v>R03</x:v>
      </x:c>
      <x:c r="C483" t="str">
        <x:f>TRIM(B483)</x:f>
        <x:v>R03</x:v>
      </x:c>
      <x:c r="D483" t="str">
        <x:v>Khách hàng 482</x:v>
      </x:c>
      <x:c r="E483" s="12" t="n">
        <x:f>IFERROR(VLOOKUP(C483,BangGia!$A$2:$D$7,4,FALSE),"Chưa có giá")</x:f>
        <x:v>38000</x:v>
      </x:c>
      <x:c r="F483" t="str">
        <x:v>Có</x:v>
      </x:c>
      <x:c r="G483" t="n">
        <x:v>151</x:v>
      </x:c>
    </x:row>
    <x:row r="484">
      <x:c r="A484" t="str">
        <x:v>VD0483</x:v>
      </x:c>
      <x:c r="B484" t="str">
        <x:v>R04</x:v>
      </x:c>
      <x:c r="C484" t="str">
        <x:f>TRIM(B484)</x:f>
        <x:v>R04</x:v>
      </x:c>
      <x:c r="D484" t="str">
        <x:v>Khách hàng 483</x:v>
      </x:c>
      <x:c r="E484" s="12" t="n">
        <x:f>IFERROR(VLOOKUP(C484,BangGia!$A$2:$D$7,4,FALSE),"Chưa có giá")</x:f>
        <x:v>52000</x:v>
      </x:c>
      <x:c r="F484" t="str">
        <x:v>Có</x:v>
      </x:c>
      <x:c r="G484" t="n">
        <x:v>164</x:v>
      </x:c>
    </x:row>
    <x:row r="485">
      <x:c r="A485" t="str">
        <x:v>VD0484</x:v>
      </x:c>
      <x:c r="B485" t="str">
        <x:v>R05</x:v>
      </x:c>
      <x:c r="C485" t="str">
        <x:f>TRIM(B485)</x:f>
        <x:v>R05</x:v>
      </x:c>
      <x:c r="D485" t="str">
        <x:v>Khách hàng 484</x:v>
      </x:c>
      <x:c r="E485" s="12" t="n">
        <x:f>IFERROR(VLOOKUP(C485,BangGia!$A$2:$D$7,4,FALSE),"Chưa có giá")</x:f>
        <x:v>30000</x:v>
      </x:c>
      <x:c r="F485" t="str">
        <x:v>Có</x:v>
      </x:c>
      <x:c r="G485" t="n">
        <x:v>177</x:v>
      </x:c>
    </x:row>
    <x:row r="486">
      <x:c r="A486" t="str">
        <x:v>VD0485</x:v>
      </x:c>
      <x:c r="B486" t="str">
        <x:v>R06</x:v>
      </x:c>
      <x:c r="C486" t="str">
        <x:f>TRIM(B486)</x:f>
        <x:v>R06</x:v>
      </x:c>
      <x:c r="D486" t="str">
        <x:v>Khách hàng 485</x:v>
      </x:c>
      <x:c r="E486" s="12" t="n">
        <x:f>IFERROR(VLOOKUP(C486,BangGia!$A$2:$D$7,4,FALSE),"Chưa có giá")</x:f>
        <x:v>42000</x:v>
      </x:c>
      <x:c r="F486" t="str">
        <x:v>Có</x:v>
      </x:c>
      <x:c r="G486" t="n">
        <x:v>40</x:v>
      </x:c>
    </x:row>
    <x:row r="487">
      <x:c r="A487" t="str">
        <x:v>VD0486</x:v>
      </x:c>
      <x:c r="B487" t="str">
        <x:v>R01</x:v>
      </x:c>
      <x:c r="C487" t="str">
        <x:f>TRIM(B487)</x:f>
        <x:v>R01</x:v>
      </x:c>
      <x:c r="D487" t="str">
        <x:v>Khách hàng 486</x:v>
      </x:c>
      <x:c r="E487" s="12" t="n">
        <x:f>IFERROR(VLOOKUP(C487,BangGia!$A$2:$D$7,4,FALSE),"Chưa có giá")</x:f>
        <x:v>22000</x:v>
      </x:c>
      <x:c r="F487" t="str">
        <x:v>Không</x:v>
      </x:c>
      <x:c r="G487" t="n">
        <x:v>53</x:v>
      </x:c>
    </x:row>
    <x:row r="488">
      <x:c r="A488" t="str">
        <x:v>VD0487</x:v>
      </x:c>
      <x:c r="B488" t="str">
        <x:v>R02</x:v>
      </x:c>
      <x:c r="C488" t="str">
        <x:f>TRIM(B488)</x:f>
        <x:v>R02</x:v>
      </x:c>
      <x:c r="D488" t="str">
        <x:v>Khách hàng 487</x:v>
      </x:c>
      <x:c r="E488" s="12" t="n">
        <x:f>IFERROR(VLOOKUP(C488,BangGia!$A$2:$D$7,4,FALSE),"Chưa có giá")</x:f>
        <x:v>45000</x:v>
      </x:c>
      <x:c r="F488" t="str">
        <x:v>Có</x:v>
      </x:c>
      <x:c r="G488" t="n">
        <x:v>66</x:v>
      </x:c>
    </x:row>
    <x:row r="489">
      <x:c r="A489" t="str">
        <x:v>VD0488</x:v>
      </x:c>
      <x:c r="B489" t="str">
        <x:v>R03</x:v>
      </x:c>
      <x:c r="C489" t="str">
        <x:f>TRIM(B489)</x:f>
        <x:v>R03</x:v>
      </x:c>
      <x:c r="D489" t="str">
        <x:v>Khách hàng 488</x:v>
      </x:c>
      <x:c r="E489" s="12" t="n">
        <x:f>IFERROR(VLOOKUP(C489,BangGia!$A$2:$D$7,4,FALSE),"Chưa có giá")</x:f>
        <x:v>38000</x:v>
      </x:c>
      <x:c r="F489" t="str">
        <x:v>Có</x:v>
      </x:c>
      <x:c r="G489" t="n">
        <x:v>79</x:v>
      </x:c>
    </x:row>
    <x:row r="490">
      <x:c r="A490" t="str">
        <x:v>VD0489</x:v>
      </x:c>
      <x:c r="B490" t="str">
        <x:v>R04</x:v>
      </x:c>
      <x:c r="C490" t="str">
        <x:f>TRIM(B490)</x:f>
        <x:v>R04</x:v>
      </x:c>
      <x:c r="D490" t="str">
        <x:v>Khách hàng 489</x:v>
      </x:c>
      <x:c r="E490" s="12" t="n">
        <x:f>IFERROR(VLOOKUP(C490,BangGia!$A$2:$D$7,4,FALSE),"Chưa có giá")</x:f>
        <x:v>52000</x:v>
      </x:c>
      <x:c r="F490" t="str">
        <x:v>Có</x:v>
      </x:c>
      <x:c r="G490" t="n">
        <x:v>92</x:v>
      </x:c>
    </x:row>
    <x:row r="491">
      <x:c r="A491" t="str">
        <x:v>VD0490</x:v>
      </x:c>
      <x:c r="B491" t="str">
        <x:v>R05</x:v>
      </x:c>
      <x:c r="C491" t="str">
        <x:f>TRIM(B491)</x:f>
        <x:v>R05</x:v>
      </x:c>
      <x:c r="D491" t="str">
        <x:v>Khách hàng 490</x:v>
      </x:c>
      <x:c r="E491" s="12" t="n">
        <x:f>IFERROR(VLOOKUP(C491,BangGia!$A$2:$D$7,4,FALSE),"Chưa có giá")</x:f>
        <x:v>30000</x:v>
      </x:c>
      <x:c r="F491" t="str">
        <x:v>Có</x:v>
      </x:c>
      <x:c r="G491" t="n">
        <x:v>105</x:v>
      </x:c>
    </x:row>
    <x:row r="492">
      <x:c r="A492" t="str">
        <x:v>VD0491</x:v>
      </x:c>
      <x:c r="B492" t="str">
        <x:v>R06</x:v>
      </x:c>
      <x:c r="C492" t="str">
        <x:f>TRIM(B492)</x:f>
        <x:v>R06</x:v>
      </x:c>
      <x:c r="D492" t="str">
        <x:v>Khách hàng 491</x:v>
      </x:c>
      <x:c r="E492" s="12" t="n">
        <x:f>IFERROR(VLOOKUP(C492,BangGia!$A$2:$D$7,4,FALSE),"Chưa có giá")</x:f>
        <x:v>42000</x:v>
      </x:c>
      <x:c r="F492" t="str">
        <x:v>Có</x:v>
      </x:c>
      <x:c r="G492" t="n">
        <x:v>118</x:v>
      </x:c>
    </x:row>
    <x:row r="493">
      <x:c r="A493" t="str">
        <x:v>VD0492</x:v>
      </x:c>
      <x:c r="B493" t="str">
        <x:v>R01 </x:v>
      </x:c>
      <x:c r="C493" t="str">
        <x:f>TRIM(B493)</x:f>
        <x:v>R01</x:v>
      </x:c>
      <x:c r="D493" t="str">
        <x:v>Khách hàng 492</x:v>
      </x:c>
      <x:c r="E493" s="12" t="n">
        <x:f>IFERROR(VLOOKUP(C493,BangGia!$A$2:$D$7,4,FALSE),"Chưa có giá")</x:f>
        <x:v>22000</x:v>
      </x:c>
      <x:c r="F493" t="str">
        <x:v>Có</x:v>
      </x:c>
      <x:c r="G493" t="n">
        <x:v>131</x:v>
      </x:c>
    </x:row>
    <x:row r="494">
      <x:c r="A494" t="str">
        <x:v>VD0493</x:v>
      </x:c>
      <x:c r="B494" t="str">
        <x:v>R02</x:v>
      </x:c>
      <x:c r="C494" t="str">
        <x:f>TRIM(B494)</x:f>
        <x:v>R02</x:v>
      </x:c>
      <x:c r="D494" t="str">
        <x:v>Khách hàng 493</x:v>
      </x:c>
      <x:c r="E494" s="12" t="n">
        <x:f>IFERROR(VLOOKUP(C494,BangGia!$A$2:$D$7,4,FALSE),"Chưa có giá")</x:f>
        <x:v>45000</x:v>
      </x:c>
      <x:c r="F494" t="str">
        <x:v>Có</x:v>
      </x:c>
      <x:c r="G494" t="n">
        <x:v>144</x:v>
      </x:c>
    </x:row>
    <x:row r="495">
      <x:c r="A495" t="str">
        <x:v>VD0494</x:v>
      </x:c>
      <x:c r="B495" t="str">
        <x:v>R03</x:v>
      </x:c>
      <x:c r="C495" t="str">
        <x:f>TRIM(B495)</x:f>
        <x:v>R03</x:v>
      </x:c>
      <x:c r="D495" t="str">
        <x:v>Khách hàng 494</x:v>
      </x:c>
      <x:c r="E495" s="12" t="n">
        <x:f>IFERROR(VLOOKUP(C495,BangGia!$A$2:$D$7,4,FALSE),"Chưa có giá")</x:f>
        <x:v>38000</x:v>
      </x:c>
      <x:c r="F495" t="str">
        <x:v>Có</x:v>
      </x:c>
      <x:c r="G495" t="n">
        <x:v>157</x:v>
      </x:c>
    </x:row>
    <x:row r="496">
      <x:c r="A496" t="str">
        <x:v>VD0495</x:v>
      </x:c>
      <x:c r="B496" t="str">
        <x:v>R04</x:v>
      </x:c>
      <x:c r="C496" t="str">
        <x:f>TRIM(B496)</x:f>
        <x:v>R04</x:v>
      </x:c>
      <x:c r="D496" t="str">
        <x:v>Khách hàng 495</x:v>
      </x:c>
      <x:c r="E496" s="12" t="n">
        <x:f>IFERROR(VLOOKUP(C496,BangGia!$A$2:$D$7,4,FALSE),"Chưa có giá")</x:f>
        <x:v>52000</x:v>
      </x:c>
      <x:c r="F496" t="str">
        <x:v>Không</x:v>
      </x:c>
      <x:c r="G496" t="n">
        <x:v>170</x:v>
      </x:c>
    </x:row>
    <x:row r="497">
      <x:c r="A497" t="str">
        <x:v>VD0496</x:v>
      </x:c>
      <x:c r="B497" t="str">
        <x:v>R05</x:v>
      </x:c>
      <x:c r="C497" t="str">
        <x:f>TRIM(B497)</x:f>
        <x:v>R05</x:v>
      </x:c>
      <x:c r="D497" t="str">
        <x:v>Khách hàng 496</x:v>
      </x:c>
      <x:c r="E497" s="12" t="n">
        <x:f>IFERROR(VLOOKUP(C497,BangGia!$A$2:$D$7,4,FALSE),"Chưa có giá")</x:f>
        <x:v>30000</x:v>
      </x:c>
      <x:c r="F497" t="str">
        <x:v>Có</x:v>
      </x:c>
      <x:c r="G497" t="n">
        <x:v>183</x:v>
      </x:c>
    </x:row>
    <x:row r="498">
      <x:c r="A498" t="str">
        <x:v>VD0497</x:v>
      </x:c>
      <x:c r="B498" t="str">
        <x:v>R06</x:v>
      </x:c>
      <x:c r="C498" t="str">
        <x:f>TRIM(B498)</x:f>
        <x:v>R06</x:v>
      </x:c>
      <x:c r="D498" t="str">
        <x:v>Khách hàng 497</x:v>
      </x:c>
      <x:c r="E498" s="12" t="n">
        <x:f>IFERROR(VLOOKUP(C498,BangGia!$A$2:$D$7,4,FALSE),"Chưa có giá")</x:f>
        <x:v>42000</x:v>
      </x:c>
      <x:c r="F498" t="str">
        <x:v>Có</x:v>
      </x:c>
      <x:c r="G498" t="n">
        <x:v>46</x:v>
      </x:c>
    </x:row>
    <x:row r="499">
      <x:c r="A499" t="str">
        <x:v>VD0498</x:v>
      </x:c>
      <x:c r="B499" t="str">
        <x:v>R01</x:v>
      </x:c>
      <x:c r="C499" t="str">
        <x:f>TRIM(B499)</x:f>
        <x:v>R01</x:v>
      </x:c>
      <x:c r="D499" t="str">
        <x:v>Khách hàng 498</x:v>
      </x:c>
      <x:c r="E499" s="12" t="n">
        <x:f>IFERROR(VLOOKUP(C499,BangGia!$A$2:$D$7,4,FALSE),"Chưa có giá")</x:f>
        <x:v>22000</x:v>
      </x:c>
      <x:c r="F499" t="str">
        <x:v>Có</x:v>
      </x:c>
      <x:c r="G499" t="n">
        <x:v>59</x:v>
      </x:c>
    </x:row>
    <x:row r="500">
      <x:c r="A500" t="str">
        <x:v>VD0499</x:v>
      </x:c>
      <x:c r="B500" t="str">
        <x:v>R02</x:v>
      </x:c>
      <x:c r="C500" t="str">
        <x:f>TRIM(B500)</x:f>
        <x:v>R02</x:v>
      </x:c>
      <x:c r="D500" t="str">
        <x:v>Khách hàng 499</x:v>
      </x:c>
      <x:c r="E500" s="12" t="n">
        <x:f>IFERROR(VLOOKUP(C500,BangGia!$A$2:$D$7,4,FALSE),"Chưa có giá")</x:f>
        <x:v>45000</x:v>
      </x:c>
      <x:c r="F500" t="str">
        <x:v>Có</x:v>
      </x:c>
      <x:c r="G500" t="n">
        <x:v>72</x:v>
      </x:c>
    </x:row>
    <x:row r="501">
      <x:c r="A501" t="str">
        <x:v>VD0500</x:v>
      </x:c>
      <x:c r="B501" t="str">
        <x:v>R03</x:v>
      </x:c>
      <x:c r="C501" t="str">
        <x:f>TRIM(B501)</x:f>
        <x:v>R03</x:v>
      </x:c>
      <x:c r="D501" t="str">
        <x:v>Khách hàng 500</x:v>
      </x:c>
      <x:c r="E501" s="12" t="n">
        <x:f>IFERROR(VLOOKUP(C501,BangGia!$A$2:$D$7,4,FALSE),"Chưa có giá")</x:f>
        <x:v>38000</x:v>
      </x:c>
      <x:c r="F501" t="str">
        <x:v>Có</x:v>
      </x:c>
      <x:c r="G501" t="n">
        <x:v>85</x:v>
      </x:c>
    </x:row>
  </x:sheetData>
  <x:pageMargins left="0.7" right="0.7" top="0.75" bottom="0.75" header="0.3" footer="0.3"/>
  <x:tableParts count="1">
    <x:tablePart xmlns:r="http://schemas.openxmlformats.org/officeDocument/2006/relationships" r:id="R126a4cebac19436e"/>
  </x:tableParts>
</x:worksheet>
</file>