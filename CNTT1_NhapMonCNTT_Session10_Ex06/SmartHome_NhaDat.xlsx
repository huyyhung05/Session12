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8f83ceed8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gHoaHong" sheetId="1" r:id="R637f3abba88f47ec"/>
    <x:sheet xmlns:r="http://schemas.openxmlformats.org/officeDocument/2006/relationships" name="NhaDat" sheetId="2" r:id="R1870ce0969ce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VNĐ&quot;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1084376dc467f" /><Relationship Type="http://schemas.openxmlformats.org/officeDocument/2006/relationships/theme" Target="/xl/theme/theme1.xml" Id="R08984579be7b42e5" /><Relationship Type="http://schemas.openxmlformats.org/officeDocument/2006/relationships/sharedStrings" Target="/xl/sharedStrings.xml" Id="R54fe373c73384a36" /><Relationship Type="http://schemas.openxmlformats.org/officeDocument/2006/relationships/worksheet" Target="/xl/worksheets/sheet1.xml" Id="R637f3abba88f47ec" /><Relationship Type="http://schemas.openxmlformats.org/officeDocument/2006/relationships/worksheet" Target="/xl/worksheets/sheet2.xml" Id="R1870ce0969ce43f1" /></Relationships>
</file>

<file path=xl/tables/table1.xml><?xml version="1.0" encoding="utf-8"?>
<x:table xmlns:x="http://schemas.openxmlformats.org/spreadsheetml/2006/main" id="1" name="NhaDatTable" displayName="NhaDatTable" ref="A1:I31" headerRowCount="1" totalsRowCount="0" totalsRowShown="0">
  <x:tableColumns count="9">
    <x:tableColumn id="1" name="Mã BĐS"/>
    <x:tableColumn id="2" name="Tên tài sản"/>
    <x:tableColumn id="3" name="Loại"/>
    <x:tableColumn id="4" name="Giá niêm yết"/>
    <x:tableColumn id="5" name="Chiết khấu"/>
    <x:tableColumn id="6" name="Giá sau CK"/>
    <x:tableColumn id="7" name="Hạng môi giới"/>
    <x:tableColumn id="8" name="Tỷ lệ HH"/>
    <x:tableColumn id="9" name="Hoa hồ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c64385219f4ca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8" hidden="0" customWidth="1"/>
  </x:cols>
  <x:sheetData>
    <x:row r="1">
      <x:c r="A1" s="10" t="str">
        <x:v>Hạng môi giới</x:v>
      </x:c>
      <x:c r="B1" s="10" t="str">
        <x:v>Mức doanh số tối thiểu</x:v>
      </x:c>
      <x:c r="C1" s="10" t="str">
        <x:v>Tỷ lệ hoa hồng</x:v>
      </x:c>
    </x:row>
    <x:row r="2">
      <x:c r="A2" t="str">
        <x:v>Bronze</x:v>
      </x:c>
      <x:c r="B2" s="12" t="n">
        <x:v>0</x:v>
      </x:c>
      <x:c r="C2" s="14" t="n">
        <x:v>0.015</x:v>
      </x:c>
    </x:row>
    <x:row r="3">
      <x:c r="A3" t="str">
        <x:v>Silver</x:v>
      </x:c>
      <x:c r="B3" s="12" t="n">
        <x:v>500000000</x:v>
      </x:c>
      <x:c r="C3" s="14" t="n">
        <x:v>0.02</x:v>
      </x:c>
    </x:row>
    <x:row r="4">
      <x:c r="A4" t="str">
        <x:v>Gold</x:v>
      </x:c>
      <x:c r="B4" s="12" t="n">
        <x:v>1000000000</x:v>
      </x:c>
      <x:c r="C4" s="14" t="n">
        <x:v>0.025</x:v>
      </x:c>
    </x:row>
    <x:row r="5">
      <x:c r="A5" t="str">
        <x:v>Platinum</x:v>
      </x:c>
      <x:c r="B5" s="12" t="n">
        <x:v>2000000000</x:v>
      </x:c>
      <x:c r="C5" s="14" t="n">
        <x:v>0.03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6" hidden="0" customWidth="1"/>
    <x:col min="5" max="5" width="12" hidden="0" customWidth="1"/>
    <x:col min="6" max="6" width="16" hidden="0" customWidth="1"/>
    <x:col min="7" max="7" width="15" hidden="0" customWidth="1"/>
    <x:col min="8" max="8" width="12" hidden="0" customWidth="1"/>
    <x:col min="9" max="9" width="16" hidden="0" customWidth="1"/>
  </x:cols>
  <x:sheetData>
    <x:row r="1">
      <x:c r="A1" s="10" t="str">
        <x:v>Mã BĐS</x:v>
      </x:c>
      <x:c r="B1" s="10" t="str">
        <x:v>Tên tài sản</x:v>
      </x:c>
      <x:c r="C1" s="10" t="str">
        <x:v>Loại</x:v>
      </x:c>
      <x:c r="D1" s="10" t="str">
        <x:v>Giá niêm yết</x:v>
      </x:c>
      <x:c r="E1" s="10" t="str">
        <x:v>Chiết khấu</x:v>
      </x:c>
      <x:c r="F1" s="10" t="str">
        <x:v>Giá sau CK</x:v>
      </x:c>
      <x:c r="G1" s="10" t="str">
        <x:v>Hạng môi giới</x:v>
      </x:c>
      <x:c r="H1" s="10" t="str">
        <x:v>Tỷ lệ HH</x:v>
      </x:c>
      <x:c r="I1" s="10" t="str">
        <x:v>Hoa hồng</x:v>
      </x:c>
    </x:row>
    <x:row r="2">
      <x:c r="A2" t="str">
        <x:v>BDS001</x:v>
      </x:c>
      <x:c r="B2" t="str">
        <x:v>Tài sản 01</x:v>
      </x:c>
      <x:c r="C2" t="str">
        <x:v>Nhà phố</x:v>
      </x:c>
      <x:c r="D2" s="12" t="n">
        <x:v>837000000</x:v>
      </x:c>
      <x:c r="E2" s="14" t="n">
        <x:v>0.02</x:v>
      </x:c>
      <x:c r="F2" s="12" t="n">
        <x:f>D2*(1-E2)</x:f>
        <x:v>820260000</x:v>
      </x:c>
      <x:c r="G2" t="str">
        <x:v>Silver</x:v>
      </x:c>
      <x:c r="H2" s="14" t="n">
        <x:f>IFERROR(VLOOKUP(G2,BangHoaHong!$A$2:$C$5,3,FALSE),0)</x:f>
        <x:v>0.02</x:v>
      </x:c>
      <x:c r="I2" s="12" t="n">
        <x:f>F2*H2</x:f>
        <x:v>16405200</x:v>
      </x:c>
    </x:row>
    <x:row r="3">
      <x:c r="A3" t="str">
        <x:v>BDS002</x:v>
      </x:c>
      <x:c r="B3" t="str">
        <x:v>Tài sản 02</x:v>
      </x:c>
      <x:c r="C3" t="str">
        <x:v>Đất nền</x:v>
      </x:c>
      <x:c r="D3" s="12" t="n">
        <x:v>974000000</x:v>
      </x:c>
      <x:c r="E3" s="14" t="n">
        <x:v>0.03</x:v>
      </x:c>
      <x:c r="F3" s="12" t="n">
        <x:f>D3*(1-E3)</x:f>
        <x:v>944780000</x:v>
      </x:c>
      <x:c r="G3" t="str">
        <x:v>Gold</x:v>
      </x:c>
      <x:c r="H3" s="14" t="n">
        <x:f>IFERROR(VLOOKUP(G3,BangHoaHong!$A$2:$C$5,3,FALSE),0)</x:f>
        <x:v>0.025</x:v>
      </x:c>
      <x:c r="I3" s="12" t="n">
        <x:f>F3*H3</x:f>
        <x:v>23619500</x:v>
      </x:c>
    </x:row>
    <x:row r="4">
      <x:c r="A4" t="str">
        <x:v>BDS003</x:v>
      </x:c>
      <x:c r="B4" t="str">
        <x:v>Tài sản 03</x:v>
      </x:c>
      <x:c r="C4" t="str">
        <x:v>Shophouse</x:v>
      </x:c>
      <x:c r="D4" s="12" t="n">
        <x:v>1111000000</x:v>
      </x:c>
      <x:c r="E4" s="14" t="n">
        <x:v>0.05</x:v>
      </x:c>
      <x:c r="F4" s="12" t="n">
        <x:f>D4*(1-E4)</x:f>
        <x:v>1055450000</x:v>
      </x:c>
      <x:c r="G4" t="str">
        <x:v>Platinum</x:v>
      </x:c>
      <x:c r="H4" s="14" t="n">
        <x:f>IFERROR(VLOOKUP(G4,BangHoaHong!$A$2:$C$5,3,FALSE),0)</x:f>
        <x:v>0.03</x:v>
      </x:c>
      <x:c r="I4" s="12" t="n">
        <x:f>F4*H4</x:f>
        <x:v>31663500</x:v>
      </x:c>
    </x:row>
    <x:row r="5">
      <x:c r="A5" t="str">
        <x:v>BDS004</x:v>
      </x:c>
      <x:c r="B5" t="str">
        <x:v>Tài sản 04</x:v>
      </x:c>
      <x:c r="C5" t="str">
        <x:v>Căn hộ</x:v>
      </x:c>
      <x:c r="D5" s="12" t="n">
        <x:v>1248000000</x:v>
      </x:c>
      <x:c r="E5" s="14" t="n">
        <x:v>0</x:v>
      </x:c>
      <x:c r="F5" s="12" t="n">
        <x:f>D5*(1-E5)</x:f>
        <x:v>1248000000</x:v>
      </x:c>
      <x:c r="G5" t="str">
        <x:v>Bronze</x:v>
      </x:c>
      <x:c r="H5" s="14" t="n">
        <x:f>IFERROR(VLOOKUP(G5,BangHoaHong!$A$2:$C$5,3,FALSE),0)</x:f>
        <x:v>0.015</x:v>
      </x:c>
      <x:c r="I5" s="12" t="n">
        <x:f>F5*H5</x:f>
        <x:v>18720000</x:v>
      </x:c>
    </x:row>
    <x:row r="6">
      <x:c r="A6" t="str">
        <x:v>BDS005</x:v>
      </x:c>
      <x:c r="B6" t="str">
        <x:v>Tài sản 05</x:v>
      </x:c>
      <x:c r="C6" t="str">
        <x:v>Nhà phố</x:v>
      </x:c>
      <x:c r="D6" s="12" t="n">
        <x:v>1385000000</x:v>
      </x:c>
      <x:c r="E6" s="14" t="n">
        <x:v>0.02</x:v>
      </x:c>
      <x:c r="F6" s="12" t="n">
        <x:f>D6*(1-E6)</x:f>
        <x:v>1357300000</x:v>
      </x:c>
      <x:c r="G6" t="str">
        <x:v>Silver</x:v>
      </x:c>
      <x:c r="H6" s="14" t="n">
        <x:f>IFERROR(VLOOKUP(G6,BangHoaHong!$A$2:$C$5,3,FALSE),0)</x:f>
        <x:v>0.02</x:v>
      </x:c>
      <x:c r="I6" s="12" t="n">
        <x:f>F6*H6</x:f>
        <x:v>27146000</x:v>
      </x:c>
    </x:row>
    <x:row r="7">
      <x:c r="A7" t="str">
        <x:v>BDS006</x:v>
      </x:c>
      <x:c r="B7" t="str">
        <x:v>Tài sản 06</x:v>
      </x:c>
      <x:c r="C7" t="str">
        <x:v>Đất nền</x:v>
      </x:c>
      <x:c r="D7" s="12" t="n">
        <x:v>1522000000</x:v>
      </x:c>
      <x:c r="E7" s="14" t="n">
        <x:v>0.03</x:v>
      </x:c>
      <x:c r="F7" s="12" t="n">
        <x:f>D7*(1-E7)</x:f>
        <x:v>1476340000</x:v>
      </x:c>
      <x:c r="G7" t="str">
        <x:v>Gold</x:v>
      </x:c>
      <x:c r="H7" s="14" t="n">
        <x:f>IFERROR(VLOOKUP(G7,BangHoaHong!$A$2:$C$5,3,FALSE),0)</x:f>
        <x:v>0.025</x:v>
      </x:c>
      <x:c r="I7" s="12" t="n">
        <x:f>F7*H7</x:f>
        <x:v>36908500</x:v>
      </x:c>
    </x:row>
    <x:row r="8">
      <x:c r="A8" t="str">
        <x:v>BDS007</x:v>
      </x:c>
      <x:c r="B8" t="str">
        <x:v>Tài sản 07</x:v>
      </x:c>
      <x:c r="C8" t="str">
        <x:v>Shophouse</x:v>
      </x:c>
      <x:c r="D8" s="12" t="n">
        <x:v>1659000000</x:v>
      </x:c>
      <x:c r="E8" s="14" t="n">
        <x:v>0.05</x:v>
      </x:c>
      <x:c r="F8" s="12" t="n">
        <x:f>D8*(1-E8)</x:f>
        <x:v>1576050000</x:v>
      </x:c>
      <x:c r="G8" t="str">
        <x:v>Platinum</x:v>
      </x:c>
      <x:c r="H8" s="14" t="n">
        <x:f>IFERROR(VLOOKUP(G8,BangHoaHong!$A$2:$C$5,3,FALSE),0)</x:f>
        <x:v>0.03</x:v>
      </x:c>
      <x:c r="I8" s="12" t="n">
        <x:f>F8*H8</x:f>
        <x:v>47281500</x:v>
      </x:c>
    </x:row>
    <x:row r="9">
      <x:c r="A9" t="str">
        <x:v>BDS008</x:v>
      </x:c>
      <x:c r="B9" t="str">
        <x:v>Tài sản 08</x:v>
      </x:c>
      <x:c r="C9" t="str">
        <x:v>Căn hộ</x:v>
      </x:c>
      <x:c r="D9" s="12" t="n">
        <x:v>1796000000</x:v>
      </x:c>
      <x:c r="E9" s="14" t="n">
        <x:v>0</x:v>
      </x:c>
      <x:c r="F9" s="12" t="n">
        <x:f>D9*(1-E9)</x:f>
        <x:v>1796000000</x:v>
      </x:c>
      <x:c r="G9" t="str">
        <x:v>Bronze</x:v>
      </x:c>
      <x:c r="H9" s="14" t="n">
        <x:f>IFERROR(VLOOKUP(G9,BangHoaHong!$A$2:$C$5,3,FALSE),0)</x:f>
        <x:v>0.015</x:v>
      </x:c>
      <x:c r="I9" s="12" t="n">
        <x:f>F9*H9</x:f>
        <x:v>26940000</x:v>
      </x:c>
    </x:row>
    <x:row r="10">
      <x:c r="A10" t="str">
        <x:v>BDS009</x:v>
      </x:c>
      <x:c r="B10" t="str">
        <x:v>Tài sản 09</x:v>
      </x:c>
      <x:c r="C10" t="str">
        <x:v>Nhà phố</x:v>
      </x:c>
      <x:c r="D10" s="12" t="n">
        <x:v>1933000000</x:v>
      </x:c>
      <x:c r="E10" s="14" t="n">
        <x:v>0.02</x:v>
      </x:c>
      <x:c r="F10" s="12" t="n">
        <x:f>D10*(1-E10)</x:f>
        <x:v>1894340000</x:v>
      </x:c>
      <x:c r="G10" t="str">
        <x:v>Silver</x:v>
      </x:c>
      <x:c r="H10" s="14" t="n">
        <x:f>IFERROR(VLOOKUP(G10,BangHoaHong!$A$2:$C$5,3,FALSE),0)</x:f>
        <x:v>0.02</x:v>
      </x:c>
      <x:c r="I10" s="12" t="n">
        <x:f>F10*H10</x:f>
        <x:v>37886800</x:v>
      </x:c>
    </x:row>
    <x:row r="11">
      <x:c r="A11" t="str">
        <x:v>BDS010</x:v>
      </x:c>
      <x:c r="B11" t="str">
        <x:v>Tài sản 10</x:v>
      </x:c>
      <x:c r="C11" t="str">
        <x:v>Đất nền</x:v>
      </x:c>
      <x:c r="D11" s="12" t="n">
        <x:v>2070000000</x:v>
      </x:c>
      <x:c r="E11" s="14" t="n">
        <x:v>0.03</x:v>
      </x:c>
      <x:c r="F11" s="12" t="n">
        <x:f>D11*(1-E11)</x:f>
        <x:v>2007900000</x:v>
      </x:c>
      <x:c r="G11" t="str">
        <x:v>Gold</x:v>
      </x:c>
      <x:c r="H11" s="14" t="n">
        <x:f>IFERROR(VLOOKUP(G11,BangHoaHong!$A$2:$C$5,3,FALSE),0)</x:f>
        <x:v>0.025</x:v>
      </x:c>
      <x:c r="I11" s="12" t="n">
        <x:f>F11*H11</x:f>
        <x:v>50197500</x:v>
      </x:c>
    </x:row>
    <x:row r="12">
      <x:c r="A12" t="str">
        <x:v>BDS011</x:v>
      </x:c>
      <x:c r="B12" t="str">
        <x:v>Tài sản 11</x:v>
      </x:c>
      <x:c r="C12" t="str">
        <x:v>Shophouse</x:v>
      </x:c>
      <x:c r="D12" s="12" t="n">
        <x:v>2207000000</x:v>
      </x:c>
      <x:c r="E12" s="14" t="n">
        <x:v>0.05</x:v>
      </x:c>
      <x:c r="F12" s="12" t="n">
        <x:f>D12*(1-E12)</x:f>
        <x:v>2096650000</x:v>
      </x:c>
      <x:c r="G12" t="str">
        <x:v>Platinum</x:v>
      </x:c>
      <x:c r="H12" s="14" t="n">
        <x:f>IFERROR(VLOOKUP(G12,BangHoaHong!$A$2:$C$5,3,FALSE),0)</x:f>
        <x:v>0.03</x:v>
      </x:c>
      <x:c r="I12" s="12" t="n">
        <x:f>F12*H12</x:f>
        <x:v>62899500</x:v>
      </x:c>
    </x:row>
    <x:row r="13">
      <x:c r="A13" t="str">
        <x:v>BDS012</x:v>
      </x:c>
      <x:c r="B13" t="str">
        <x:v>Tài sản 12</x:v>
      </x:c>
      <x:c r="C13" t="str">
        <x:v>Căn hộ</x:v>
      </x:c>
      <x:c r="D13" s="12" t="n">
        <x:v>2344000000</x:v>
      </x:c>
      <x:c r="E13" s="14" t="n">
        <x:v>0</x:v>
      </x:c>
      <x:c r="F13" s="12" t="n">
        <x:f>D13*(1-E13)</x:f>
        <x:v>2344000000</x:v>
      </x:c>
      <x:c r="G13" t="str">
        <x:v>Bronze</x:v>
      </x:c>
      <x:c r="H13" s="14" t="n">
        <x:f>IFERROR(VLOOKUP(G13,BangHoaHong!$A$2:$C$5,3,FALSE),0)</x:f>
        <x:v>0.015</x:v>
      </x:c>
      <x:c r="I13" s="12" t="n">
        <x:f>F13*H13</x:f>
        <x:v>35160000</x:v>
      </x:c>
    </x:row>
    <x:row r="14">
      <x:c r="A14" t="str">
        <x:v>BDS013</x:v>
      </x:c>
      <x:c r="B14" t="str">
        <x:v>Tài sản 13</x:v>
      </x:c>
      <x:c r="C14" t="str">
        <x:v>Nhà phố</x:v>
      </x:c>
      <x:c r="D14" s="12" t="n">
        <x:v>2481000000</x:v>
      </x:c>
      <x:c r="E14" s="14" t="n">
        <x:v>0.02</x:v>
      </x:c>
      <x:c r="F14" s="12" t="n">
        <x:f>D14*(1-E14)</x:f>
        <x:v>2431380000</x:v>
      </x:c>
      <x:c r="G14" t="str">
        <x:v>Silver</x:v>
      </x:c>
      <x:c r="H14" s="14" t="n">
        <x:f>IFERROR(VLOOKUP(G14,BangHoaHong!$A$2:$C$5,3,FALSE),0)</x:f>
        <x:v>0.02</x:v>
      </x:c>
      <x:c r="I14" s="12" t="n">
        <x:f>F14*H14</x:f>
        <x:v>48627600</x:v>
      </x:c>
    </x:row>
    <x:row r="15">
      <x:c r="A15" t="str">
        <x:v>BDS014</x:v>
      </x:c>
      <x:c r="B15" t="str">
        <x:v>Tài sản 14</x:v>
      </x:c>
      <x:c r="C15" t="str">
        <x:v>Đất nền</x:v>
      </x:c>
      <x:c r="D15" s="12" t="n">
        <x:v>2618000000</x:v>
      </x:c>
      <x:c r="E15" s="14" t="n">
        <x:v>0.03</x:v>
      </x:c>
      <x:c r="F15" s="12" t="n">
        <x:f>D15*(1-E15)</x:f>
        <x:v>2539460000</x:v>
      </x:c>
      <x:c r="G15" t="str">
        <x:v>Gold</x:v>
      </x:c>
      <x:c r="H15" s="14" t="n">
        <x:f>IFERROR(VLOOKUP(G15,BangHoaHong!$A$2:$C$5,3,FALSE),0)</x:f>
        <x:v>0.025</x:v>
      </x:c>
      <x:c r="I15" s="12" t="n">
        <x:f>F15*H15</x:f>
        <x:v>63486500</x:v>
      </x:c>
    </x:row>
    <x:row r="16">
      <x:c r="A16" t="str">
        <x:v>BDS015</x:v>
      </x:c>
      <x:c r="B16" t="str">
        <x:v>Tài sản 15</x:v>
      </x:c>
      <x:c r="C16" t="str">
        <x:v>Shophouse</x:v>
      </x:c>
      <x:c r="D16" s="12" t="n">
        <x:v>2755000000</x:v>
      </x:c>
      <x:c r="E16" s="14" t="n">
        <x:v>0.05</x:v>
      </x:c>
      <x:c r="F16" s="12" t="n">
        <x:f>D16*(1-E16)</x:f>
        <x:v>2617250000</x:v>
      </x:c>
      <x:c r="G16" t="str">
        <x:v>Platinum</x:v>
      </x:c>
      <x:c r="H16" s="14" t="n">
        <x:f>IFERROR(VLOOKUP(G16,BangHoaHong!$A$2:$C$5,3,FALSE),0)</x:f>
        <x:v>0.03</x:v>
      </x:c>
      <x:c r="I16" s="12" t="n">
        <x:f>F16*H16</x:f>
        <x:v>78517500</x:v>
      </x:c>
    </x:row>
    <x:row r="17">
      <x:c r="A17" t="str">
        <x:v>BDS016</x:v>
      </x:c>
      <x:c r="B17" t="str">
        <x:v>Tài sản 16</x:v>
      </x:c>
      <x:c r="C17" t="str">
        <x:v>Căn hộ</x:v>
      </x:c>
      <x:c r="D17" s="12" t="n">
        <x:v>2892000000</x:v>
      </x:c>
      <x:c r="E17" s="14" t="n">
        <x:v>0</x:v>
      </x:c>
      <x:c r="F17" s="12" t="n">
        <x:f>D17*(1-E17)</x:f>
        <x:v>2892000000</x:v>
      </x:c>
      <x:c r="G17" t="str">
        <x:v>Bronze</x:v>
      </x:c>
      <x:c r="H17" s="14" t="n">
        <x:f>IFERROR(VLOOKUP(G17,BangHoaHong!$A$2:$C$5,3,FALSE),0)</x:f>
        <x:v>0.015</x:v>
      </x:c>
      <x:c r="I17" s="12" t="n">
        <x:f>F17*H17</x:f>
        <x:v>43380000</x:v>
      </x:c>
    </x:row>
    <x:row r="18">
      <x:c r="A18" t="str">
        <x:v>BDS017</x:v>
      </x:c>
      <x:c r="B18" t="str">
        <x:v>Tài sản 17</x:v>
      </x:c>
      <x:c r="C18" t="str">
        <x:v>Nhà phố</x:v>
      </x:c>
      <x:c r="D18" s="12" t="n">
        <x:v>3029000000</x:v>
      </x:c>
      <x:c r="E18" s="14" t="n">
        <x:v>0.02</x:v>
      </x:c>
      <x:c r="F18" s="12" t="n">
        <x:f>D18*(1-E18)</x:f>
        <x:v>2968420000</x:v>
      </x:c>
      <x:c r="G18" t="str">
        <x:v>Silver</x:v>
      </x:c>
      <x:c r="H18" s="14" t="n">
        <x:f>IFERROR(VLOOKUP(G18,BangHoaHong!$A$2:$C$5,3,FALSE),0)</x:f>
        <x:v>0.02</x:v>
      </x:c>
      <x:c r="I18" s="12" t="n">
        <x:f>F18*H18</x:f>
        <x:v>59368400</x:v>
      </x:c>
    </x:row>
    <x:row r="19">
      <x:c r="A19" t="str">
        <x:v>BDS018</x:v>
      </x:c>
      <x:c r="B19" t="str">
        <x:v>Tài sản 18</x:v>
      </x:c>
      <x:c r="C19" t="str">
        <x:v>Đất nền</x:v>
      </x:c>
      <x:c r="D19" s="12" t="n">
        <x:v>3166000000</x:v>
      </x:c>
      <x:c r="E19" s="14" t="n">
        <x:v>0.03</x:v>
      </x:c>
      <x:c r="F19" s="12" t="n">
        <x:f>D19*(1-E19)</x:f>
        <x:v>3071020000</x:v>
      </x:c>
      <x:c r="G19" t="str">
        <x:v>Gold</x:v>
      </x:c>
      <x:c r="H19" s="14" t="n">
        <x:f>IFERROR(VLOOKUP(G19,BangHoaHong!$A$2:$C$5,3,FALSE),0)</x:f>
        <x:v>0.025</x:v>
      </x:c>
      <x:c r="I19" s="12" t="n">
        <x:f>F19*H19</x:f>
        <x:v>76775500</x:v>
      </x:c>
    </x:row>
    <x:row r="20">
      <x:c r="A20" t="str">
        <x:v>BDS019</x:v>
      </x:c>
      <x:c r="B20" t="str">
        <x:v>Tài sản 19</x:v>
      </x:c>
      <x:c r="C20" t="str">
        <x:v>Shophouse</x:v>
      </x:c>
      <x:c r="D20" s="12" t="n">
        <x:v>803000000</x:v>
      </x:c>
      <x:c r="E20" s="14" t="n">
        <x:v>0.05</x:v>
      </x:c>
      <x:c r="F20" s="12" t="n">
        <x:f>D20*(1-E20)</x:f>
        <x:v>762850000</x:v>
      </x:c>
      <x:c r="G20" t="str">
        <x:v>Platinum</x:v>
      </x:c>
      <x:c r="H20" s="14" t="n">
        <x:f>IFERROR(VLOOKUP(G20,BangHoaHong!$A$2:$C$5,3,FALSE),0)</x:f>
        <x:v>0.03</x:v>
      </x:c>
      <x:c r="I20" s="12" t="n">
        <x:f>F20*H20</x:f>
        <x:v>22885500</x:v>
      </x:c>
    </x:row>
    <x:row r="21">
      <x:c r="A21" t="str">
        <x:v>BDS020</x:v>
      </x:c>
      <x:c r="B21" t="str">
        <x:v>Tài sản 20</x:v>
      </x:c>
      <x:c r="C21" t="str">
        <x:v>Căn hộ</x:v>
      </x:c>
      <x:c r="D21" s="12" t="n">
        <x:v>940000000</x:v>
      </x:c>
      <x:c r="E21" s="14" t="n">
        <x:v>0</x:v>
      </x:c>
      <x:c r="F21" s="12" t="n">
        <x:f>D21*(1-E21)</x:f>
        <x:v>940000000</x:v>
      </x:c>
      <x:c r="G21" t="str">
        <x:v>Bronze</x:v>
      </x:c>
      <x:c r="H21" s="14" t="n">
        <x:f>IFERROR(VLOOKUP(G21,BangHoaHong!$A$2:$C$5,3,FALSE),0)</x:f>
        <x:v>0.015</x:v>
      </x:c>
      <x:c r="I21" s="12" t="n">
        <x:f>F21*H21</x:f>
        <x:v>14100000</x:v>
      </x:c>
    </x:row>
    <x:row r="22">
      <x:c r="A22" t="str">
        <x:v>BDS021</x:v>
      </x:c>
      <x:c r="B22" t="str">
        <x:v>Tài sản 21</x:v>
      </x:c>
      <x:c r="C22" t="str">
        <x:v>Nhà phố</x:v>
      </x:c>
      <x:c r="D22" s="12" t="n">
        <x:v>1077000000</x:v>
      </x:c>
      <x:c r="E22" s="14" t="n">
        <x:v>0.02</x:v>
      </x:c>
      <x:c r="F22" s="12" t="n">
        <x:f>D22*(1-E22)</x:f>
        <x:v>1055460000</x:v>
      </x:c>
      <x:c r="G22" t="str">
        <x:v>Silver</x:v>
      </x:c>
      <x:c r="H22" s="14" t="n">
        <x:f>IFERROR(VLOOKUP(G22,BangHoaHong!$A$2:$C$5,3,FALSE),0)</x:f>
        <x:v>0.02</x:v>
      </x:c>
      <x:c r="I22" s="12" t="n">
        <x:f>F22*H22</x:f>
        <x:v>21109200</x:v>
      </x:c>
    </x:row>
    <x:row r="23">
      <x:c r="A23" t="str">
        <x:v>BDS022</x:v>
      </x:c>
      <x:c r="B23" t="str">
        <x:v>Tài sản 22</x:v>
      </x:c>
      <x:c r="C23" t="str">
        <x:v>Đất nền</x:v>
      </x:c>
      <x:c r="D23" s="12" t="n">
        <x:v>1214000000</x:v>
      </x:c>
      <x:c r="E23" s="14" t="n">
        <x:v>0.03</x:v>
      </x:c>
      <x:c r="F23" s="12" t="n">
        <x:f>D23*(1-E23)</x:f>
        <x:v>1177580000</x:v>
      </x:c>
      <x:c r="G23" t="str">
        <x:v>Gold</x:v>
      </x:c>
      <x:c r="H23" s="14" t="n">
        <x:f>IFERROR(VLOOKUP(G23,BangHoaHong!$A$2:$C$5,3,FALSE),0)</x:f>
        <x:v>0.025</x:v>
      </x:c>
      <x:c r="I23" s="12" t="n">
        <x:f>F23*H23</x:f>
        <x:v>29439500</x:v>
      </x:c>
    </x:row>
    <x:row r="24">
      <x:c r="A24" t="str">
        <x:v>BDS023</x:v>
      </x:c>
      <x:c r="B24" t="str">
        <x:v>Tài sản 23</x:v>
      </x:c>
      <x:c r="C24" t="str">
        <x:v>Shophouse</x:v>
      </x:c>
      <x:c r="D24" s="12" t="n">
        <x:v>1351000000</x:v>
      </x:c>
      <x:c r="E24" s="14" t="n">
        <x:v>0.05</x:v>
      </x:c>
      <x:c r="F24" s="12" t="n">
        <x:f>D24*(1-E24)</x:f>
        <x:v>1283450000</x:v>
      </x:c>
      <x:c r="G24" t="str">
        <x:v>Platinum</x:v>
      </x:c>
      <x:c r="H24" s="14" t="n">
        <x:f>IFERROR(VLOOKUP(G24,BangHoaHong!$A$2:$C$5,3,FALSE),0)</x:f>
        <x:v>0.03</x:v>
      </x:c>
      <x:c r="I24" s="12" t="n">
        <x:f>F24*H24</x:f>
        <x:v>38503500</x:v>
      </x:c>
    </x:row>
    <x:row r="25">
      <x:c r="A25" t="str">
        <x:v>BDS024</x:v>
      </x:c>
      <x:c r="B25" t="str">
        <x:v>Tài sản 24</x:v>
      </x:c>
      <x:c r="C25" t="str">
        <x:v>Căn hộ</x:v>
      </x:c>
      <x:c r="D25" s="12" t="n">
        <x:v>1488000000</x:v>
      </x:c>
      <x:c r="E25" s="14" t="n">
        <x:v>0</x:v>
      </x:c>
      <x:c r="F25" s="12" t="n">
        <x:f>D25*(1-E25)</x:f>
        <x:v>1488000000</x:v>
      </x:c>
      <x:c r="G25" t="str">
        <x:v>Bronze</x:v>
      </x:c>
      <x:c r="H25" s="14" t="n">
        <x:f>IFERROR(VLOOKUP(G25,BangHoaHong!$A$2:$C$5,3,FALSE),0)</x:f>
        <x:v>0.015</x:v>
      </x:c>
      <x:c r="I25" s="12" t="n">
        <x:f>F25*H25</x:f>
        <x:v>22320000</x:v>
      </x:c>
    </x:row>
    <x:row r="26">
      <x:c r="A26" t="str">
        <x:v>BDS025</x:v>
      </x:c>
      <x:c r="B26" t="str">
        <x:v>Tài sản 25</x:v>
      </x:c>
      <x:c r="C26" t="str">
        <x:v>Nhà phố</x:v>
      </x:c>
      <x:c r="D26" s="12" t="n">
        <x:v>1625000000</x:v>
      </x:c>
      <x:c r="E26" s="14" t="n">
        <x:v>0.02</x:v>
      </x:c>
      <x:c r="F26" s="12" t="n">
        <x:f>D26*(1-E26)</x:f>
        <x:v>1592500000</x:v>
      </x:c>
      <x:c r="G26" t="str">
        <x:v>Silver</x:v>
      </x:c>
      <x:c r="H26" s="14" t="n">
        <x:f>IFERROR(VLOOKUP(G26,BangHoaHong!$A$2:$C$5,3,FALSE),0)</x:f>
        <x:v>0.02</x:v>
      </x:c>
      <x:c r="I26" s="12" t="n">
        <x:f>F26*H26</x:f>
        <x:v>31850000</x:v>
      </x:c>
    </x:row>
    <x:row r="27">
      <x:c r="A27" t="str">
        <x:v>BDS026</x:v>
      </x:c>
      <x:c r="B27" t="str">
        <x:v>Tài sản 26</x:v>
      </x:c>
      <x:c r="C27" t="str">
        <x:v>Đất nền</x:v>
      </x:c>
      <x:c r="D27" s="12" t="n">
        <x:v>1762000000</x:v>
      </x:c>
      <x:c r="E27" s="14" t="n">
        <x:v>0.03</x:v>
      </x:c>
      <x:c r="F27" s="12" t="n">
        <x:f>D27*(1-E27)</x:f>
        <x:v>1709140000</x:v>
      </x:c>
      <x:c r="G27" t="str">
        <x:v>Gold</x:v>
      </x:c>
      <x:c r="H27" s="14" t="n">
        <x:f>IFERROR(VLOOKUP(G27,BangHoaHong!$A$2:$C$5,3,FALSE),0)</x:f>
        <x:v>0.025</x:v>
      </x:c>
      <x:c r="I27" s="12" t="n">
        <x:f>F27*H27</x:f>
        <x:v>42728500</x:v>
      </x:c>
    </x:row>
    <x:row r="28">
      <x:c r="A28" t="str">
        <x:v>BDS027</x:v>
      </x:c>
      <x:c r="B28" t="str">
        <x:v>Tài sản 27</x:v>
      </x:c>
      <x:c r="C28" t="str">
        <x:v>Shophouse</x:v>
      </x:c>
      <x:c r="D28" s="12" t="n">
        <x:v>1899000000</x:v>
      </x:c>
      <x:c r="E28" s="14" t="n">
        <x:v>0.05</x:v>
      </x:c>
      <x:c r="F28" s="12" t="n">
        <x:f>D28*(1-E28)</x:f>
        <x:v>1804050000</x:v>
      </x:c>
      <x:c r="G28" t="str">
        <x:v>Platinum</x:v>
      </x:c>
      <x:c r="H28" s="14" t="n">
        <x:f>IFERROR(VLOOKUP(G28,BangHoaHong!$A$2:$C$5,3,FALSE),0)</x:f>
        <x:v>0.03</x:v>
      </x:c>
      <x:c r="I28" s="12" t="n">
        <x:f>F28*H28</x:f>
        <x:v>54121500</x:v>
      </x:c>
    </x:row>
    <x:row r="29">
      <x:c r="A29" t="str">
        <x:v>BDS028</x:v>
      </x:c>
      <x:c r="B29" t="str">
        <x:v>Tài sản 28</x:v>
      </x:c>
      <x:c r="C29" t="str">
        <x:v>Căn hộ</x:v>
      </x:c>
      <x:c r="D29" s="12" t="n">
        <x:v>2036000000</x:v>
      </x:c>
      <x:c r="E29" s="14" t="n">
        <x:v>0</x:v>
      </x:c>
      <x:c r="F29" s="12" t="n">
        <x:f>D29*(1-E29)</x:f>
        <x:v>2036000000</x:v>
      </x:c>
      <x:c r="G29" t="str">
        <x:v>Bronze</x:v>
      </x:c>
      <x:c r="H29" s="14" t="n">
        <x:f>IFERROR(VLOOKUP(G29,BangHoaHong!$A$2:$C$5,3,FALSE),0)</x:f>
        <x:v>0.015</x:v>
      </x:c>
      <x:c r="I29" s="12" t="n">
        <x:f>F29*H29</x:f>
        <x:v>30540000</x:v>
      </x:c>
    </x:row>
    <x:row r="30">
      <x:c r="A30" t="str">
        <x:v>BDS029</x:v>
      </x:c>
      <x:c r="B30" t="str">
        <x:v>Tài sản 29</x:v>
      </x:c>
      <x:c r="C30" t="str">
        <x:v>Nhà phố</x:v>
      </x:c>
      <x:c r="D30" s="12" t="n">
        <x:v>2173000000</x:v>
      </x:c>
      <x:c r="E30" s="14" t="n">
        <x:v>0.02</x:v>
      </x:c>
      <x:c r="F30" s="12" t="n">
        <x:f>D30*(1-E30)</x:f>
        <x:v>2129540000</x:v>
      </x:c>
      <x:c r="G30" t="str">
        <x:v>Silver</x:v>
      </x:c>
      <x:c r="H30" s="14" t="n">
        <x:f>IFERROR(VLOOKUP(G30,BangHoaHong!$A$2:$C$5,3,FALSE),0)</x:f>
        <x:v>0.02</x:v>
      </x:c>
      <x:c r="I30" s="12" t="n">
        <x:f>F30*H30</x:f>
        <x:v>42590800</x:v>
      </x:c>
    </x:row>
    <x:row r="31">
      <x:c r="A31" t="str">
        <x:v>BDS030</x:v>
      </x:c>
      <x:c r="B31" t="str">
        <x:v>Tài sản 30</x:v>
      </x:c>
      <x:c r="C31" t="str">
        <x:v>Đất nền</x:v>
      </x:c>
      <x:c r="D31" s="12" t="n">
        <x:v>2310000000</x:v>
      </x:c>
      <x:c r="E31" s="14" t="n">
        <x:v>0.03</x:v>
      </x:c>
      <x:c r="F31" s="12" t="n">
        <x:f>D31*(1-E31)</x:f>
        <x:v>2240700000</x:v>
      </x:c>
      <x:c r="G31" t="str">
        <x:v>Gold</x:v>
      </x:c>
      <x:c r="H31" s="14" t="n">
        <x:f>IFERROR(VLOOKUP(G31,BangHoaHong!$A$2:$C$5,3,FALSE),0)</x:f>
        <x:v>0.025</x:v>
      </x:c>
      <x:c r="I31" s="12" t="n">
        <x:f>F31*H31</x:f>
        <x:v>56017500</x:v>
      </x:c>
    </x:row>
  </x:sheetData>
  <x:pageMargins left="0.7" right="0.7" top="0.75" bottom="0.75" header="0.3" footer="0.3"/>
  <x:tableParts count="1">
    <x:tablePart xmlns:r="http://schemas.openxmlformats.org/officeDocument/2006/relationships" r:id="R4cc64385219f4cad"/>
  </x:tableParts>
</x:worksheet>
</file>