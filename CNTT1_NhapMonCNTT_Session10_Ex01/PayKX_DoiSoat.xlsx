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78000a1e245a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nhMucNguoiDung" sheetId="1" r:id="Rbfc40bb96a4141a5"/>
    <x:sheet xmlns:r="http://schemas.openxmlformats.org/officeDocument/2006/relationships" name="GiaoDich" sheetId="2" r:id="R1303dbed4ae446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#,##0 &quot;VNĐ&quot;"/>
    <x:numFmt numFmtId="201" formatCode="0.0%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4B183"/>
      </x:patternFill>
    </x:fill>
  </x:fills>
  <x:borders count="2">
    <x:border/>
    <x:border/>
  </x:borders>
  <x:cellStyleXfs count="1">
    <x:xf numFmtId="0" fontId="0" fillId="0" borderId="0"/>
  </x:cellStyleXfs>
  <x:cellXfs count="1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201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89e22db536b483f" /><Relationship Type="http://schemas.openxmlformats.org/officeDocument/2006/relationships/theme" Target="/xl/theme/theme1.xml" Id="R3c61b63c348543f9" /><Relationship Type="http://schemas.openxmlformats.org/officeDocument/2006/relationships/sharedStrings" Target="/xl/sharedStrings.xml" Id="R94367670aa1d4af0" /><Relationship Type="http://schemas.openxmlformats.org/officeDocument/2006/relationships/worksheet" Target="/xl/worksheets/sheet1.xml" Id="Rbfc40bb96a4141a5" /><Relationship Type="http://schemas.openxmlformats.org/officeDocument/2006/relationships/worksheet" Target="/xl/worksheets/sheet2.xml" Id="R1303dbed4ae4467a" /></Relationships>
</file>

<file path=xl/tables/table1.xml><?xml version="1.0" encoding="utf-8"?>
<x:table xmlns:x="http://schemas.openxmlformats.org/spreadsheetml/2006/main" id="1" name="NguoiDungTable" displayName="NguoiDungTable" ref="A1:C9" headerRowCount="1" totalsRowCount="0" totalsRowShown="0">
  <x:tableColumns count="3">
    <x:tableColumn id="1" name="Mã người dùng"/>
    <x:tableColumn id="2" name="Họ tên"/>
    <x:tableColumn id="3" name="Nhóm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GiaoDichTable" displayName="GiaoDichTable" ref="A1:I13" headerRowCount="1" totalsRowCount="0" totalsRowShown="0">
  <x:tableColumns count="9">
    <x:tableColumn id="1" name="Mã GD"/>
    <x:tableColumn id="2" name="Mã user gốc"/>
    <x:tableColumn id="3" name="Mã user sạch"/>
    <x:tableColumn id="4" name="Tên người dùng"/>
    <x:tableColumn id="5" name="Loại GD"/>
    <x:tableColumn id="6" name="Giá trị GD"/>
    <x:tableColumn id="7" name="Phí đối tác"/>
    <x:tableColumn id="8" name="Hoàn tiền"/>
    <x:tableColumn id="9" name="Doanh thu ròng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fc73e7f4304471e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2e3fff86ff24441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22" hidden="0" customWidth="1"/>
    <x:col min="3" max="3" width="14" hidden="0" customWidth="1"/>
  </x:cols>
  <x:sheetData>
    <x:row r="1">
      <x:c r="A1" s="10" t="str">
        <x:v>Mã người dùng</x:v>
      </x:c>
      <x:c r="B1" s="10" t="str">
        <x:v>Họ tên</x:v>
      </x:c>
      <x:c r="C1" s="10" t="str">
        <x:v>Nhóm</x:v>
      </x:c>
    </x:row>
    <x:row r="2">
      <x:c r="A2" t="str">
        <x:v>U001</x:v>
      </x:c>
      <x:c r="B2" t="str">
        <x:v>Nguyễn Minh An</x:v>
      </x:c>
      <x:c r="C2" t="str">
        <x:v>Sinh viên</x:v>
      </x:c>
    </x:row>
    <x:row r="3">
      <x:c r="A3" t="str">
        <x:v>U002</x:v>
      </x:c>
      <x:c r="B3" t="str">
        <x:v>Trần Thu Bình</x:v>
      </x:c>
      <x:c r="C3" t="str">
        <x:v>Sinh viên</x:v>
      </x:c>
    </x:row>
    <x:row r="4">
      <x:c r="A4" t="str">
        <x:v>U003</x:v>
      </x:c>
      <x:c r="B4" t="str">
        <x:v>Lê Quốc Cường</x:v>
      </x:c>
      <x:c r="C4" t="str">
        <x:v>Sinh viên</x:v>
      </x:c>
    </x:row>
    <x:row r="5">
      <x:c r="A5" t="str">
        <x:v>U004</x:v>
      </x:c>
      <x:c r="B5" t="str">
        <x:v>Phạm Hải Dương</x:v>
      </x:c>
      <x:c r="C5" t="str">
        <x:v>Sinh viên</x:v>
      </x:c>
    </x:row>
    <x:row r="6">
      <x:c r="A6" t="str">
        <x:v>U005</x:v>
      </x:c>
      <x:c r="B6" t="str">
        <x:v>Hoàng Gia Hân</x:v>
      </x:c>
      <x:c r="C6" t="str">
        <x:v>Sinh viên</x:v>
      </x:c>
    </x:row>
    <x:row r="7">
      <x:c r="A7" t="str">
        <x:v>U006</x:v>
      </x:c>
      <x:c r="B7" t="str">
        <x:v>Vũ Minh Khoa</x:v>
      </x:c>
      <x:c r="C7" t="str">
        <x:v>Sinh viên</x:v>
      </x:c>
    </x:row>
    <x:row r="8">
      <x:c r="A8" t="str">
        <x:v>U007</x:v>
      </x:c>
      <x:c r="B8" t="str">
        <x:v>Đỗ Lan Mai</x:v>
      </x:c>
      <x:c r="C8" t="str">
        <x:v>Sinh viên</x:v>
      </x:c>
    </x:row>
    <x:row r="9">
      <x:c r="A9" t="str">
        <x:v>U008</x:v>
      </x:c>
      <x:c r="B9" t="str">
        <x:v>Ngô Phúc Nam</x:v>
      </x:c>
      <x:c r="C9" t="str">
        <x:v>Sinh viên</x:v>
      </x:c>
    </x:row>
  </x:sheetData>
  <x:pageMargins left="0.7" right="0.7" top="0.75" bottom="0.75" header="0.3" footer="0.3"/>
  <x:tableParts count="1">
    <x:tablePart xmlns:r="http://schemas.openxmlformats.org/officeDocument/2006/relationships" r:id="Rafc73e7f4304471e"/>
  </x:tableParts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22" hidden="0" customWidth="1"/>
    <x:col min="5" max="5" width="20" hidden="0" customWidth="1"/>
    <x:col min="6" max="6" width="15" hidden="0" customWidth="1"/>
    <x:col min="7" max="7" width="14" hidden="0" customWidth="1"/>
    <x:col min="8" max="8" width="14" hidden="0" customWidth="1"/>
    <x:col min="9" max="9" width="16" hidden="0" customWidth="1"/>
  </x:cols>
  <x:sheetData>
    <x:row r="1">
      <x:c r="A1" s="10" t="str">
        <x:v>Mã GD</x:v>
      </x:c>
      <x:c r="B1" s="10" t="str">
        <x:v>Mã user gốc</x:v>
      </x:c>
      <x:c r="C1" s="10" t="str">
        <x:v>Mã user sạch</x:v>
      </x:c>
      <x:c r="D1" s="10" t="str">
        <x:v>Tên người dùng</x:v>
      </x:c>
      <x:c r="E1" s="10" t="str">
        <x:v>Loại GD</x:v>
      </x:c>
      <x:c r="F1" s="10" t="str">
        <x:v>Giá trị GD</x:v>
      </x:c>
      <x:c r="G1" s="10" t="str">
        <x:v>Phí đối tác</x:v>
      </x:c>
      <x:c r="H1" s="10" t="str">
        <x:v>Hoàn tiền</x:v>
      </x:c>
      <x:c r="I1" s="10" t="str">
        <x:v>Doanh thu ròng</x:v>
      </x:c>
      <x:c r="K1" s="15" t="str">
        <x:v>Tháng</x:v>
      </x:c>
      <x:c r="L1" s="15" t="str">
        <x:v>Doanh thu trước ưu đãi</x:v>
      </x:c>
      <x:c r="M1" s="15" t="str">
        <x:v>Doanh thu sau ưu đãi</x:v>
      </x:c>
      <x:c r="N1" s="15" t="str">
        <x:v>Tăng trưởng</x:v>
      </x:c>
    </x:row>
    <x:row r="2">
      <x:c r="A2" t="str">
        <x:v>GD001</x:v>
      </x:c>
      <x:c r="B2" t="str">
        <x:v>U001 </x:v>
      </x:c>
      <x:c r="C2" t="str">
        <x:f>TRIM(B2)</x:f>
        <x:v>U001</x:v>
      </x:c>
      <x:c r="D2" t="str">
        <x:f>IFERROR(VLOOKUP(C2,DanhMucNguoiDung!$A$2:$C$9,2,FALSE),"Chưa cập nhật")</x:f>
        <x:v>Nguyễn Minh An</x:v>
      </x:c>
      <x:c r="E2" t="str">
        <x:v>Nạp điện thoại</x:v>
      </x:c>
      <x:c r="F2" s="12" t="n">
        <x:v>250000</x:v>
      </x:c>
      <x:c r="G2" s="12" t="n">
        <x:v>5000</x:v>
      </x:c>
      <x:c r="H2" s="12" t="n">
        <x:v>10000</x:v>
      </x:c>
      <x:c r="I2" s="12" t="n">
        <x:f>F2-G2-H2</x:f>
        <x:v>235000</x:v>
      </x:c>
      <x:c r="K2" t="str">
        <x:v>T7</x:v>
      </x:c>
      <x:c r="L2" s="12" t="n">
        <x:v>12500000</x:v>
      </x:c>
      <x:c r="M2" s="12" t="n">
        <x:v>12900000</x:v>
      </x:c>
      <x:c r="N2" s="18" t="n">
        <x:v>0.032</x:v>
      </x:c>
    </x:row>
    <x:row r="3">
      <x:c r="A3" t="str">
        <x:v>GD002</x:v>
      </x:c>
      <x:c r="B3" t="str">
        <x:v>U002</x:v>
      </x:c>
      <x:c r="C3" t="str">
        <x:f>TRIM(B3)</x:f>
        <x:v>U002</x:v>
      </x:c>
      <x:c r="D3" t="str">
        <x:f>IFERROR(VLOOKUP(C3,DanhMucNguoiDung!$A$2:$C$9,2,FALSE),"Chưa cập nhật")</x:f>
        <x:v>Trần Thu Bình</x:v>
      </x:c>
      <x:c r="E3" t="str">
        <x:v>Thanh toán QR</x:v>
      </x:c>
      <x:c r="F3" s="12" t="n">
        <x:v>180000</x:v>
      </x:c>
      <x:c r="G3" s="12" t="n">
        <x:v>3600</x:v>
      </x:c>
      <x:c r="H3" s="12" t="n">
        <x:v>0</x:v>
      </x:c>
      <x:c r="I3" s="12" t="n">
        <x:f>F3-G3-H3</x:f>
        <x:v>176400</x:v>
      </x:c>
      <x:c r="K3" t="str">
        <x:v>T8</x:v>
      </x:c>
      <x:c r="L3" s="12" t="n">
        <x:v>13100000</x:v>
      </x:c>
      <x:c r="M3" s="12" t="n">
        <x:v>13800000</x:v>
      </x:c>
      <x:c r="N3" s="18" t="n">
        <x:v>0.053</x:v>
      </x:c>
    </x:row>
    <x:row r="4">
      <x:c r="A4" t="str">
        <x:v>GD003</x:v>
      </x:c>
      <x:c r="B4" t="str">
        <x:v>U003  </x:v>
      </x:c>
      <x:c r="C4" t="str">
        <x:f>TRIM(B4)</x:f>
        <x:v>U003</x:v>
      </x:c>
      <x:c r="D4" t="str">
        <x:f>IFERROR(VLOOKUP(C4,DanhMucNguoiDung!$A$2:$C$9,2,FALSE),"Chưa cập nhật")</x:f>
        <x:v>Lê Quốc Cường</x:v>
      </x:c>
      <x:c r="E4" t="str">
        <x:v>Nạp điện thoại</x:v>
      </x:c>
      <x:c r="F4" s="12" t="n">
        <x:v>300000</x:v>
      </x:c>
      <x:c r="G4" s="12" t="n">
        <x:v>6000</x:v>
      </x:c>
      <x:c r="H4" s="12" t="n">
        <x:v>12000</x:v>
      </x:c>
      <x:c r="I4" s="12" t="n">
        <x:f>F4-G4-H4</x:f>
        <x:v>282000</x:v>
      </x:c>
      <x:c r="K4" t="str">
        <x:v>T9</x:v>
      </x:c>
      <x:c r="L4" s="12" t="n">
        <x:v>13900000</x:v>
      </x:c>
      <x:c r="M4" s="12" t="n">
        <x:v>15100000</x:v>
      </x:c>
      <x:c r="N4" s="18" t="n">
        <x:v>0.086</x:v>
      </x:c>
    </x:row>
    <x:row r="5">
      <x:c r="A5" t="str">
        <x:v>GD004</x:v>
      </x:c>
      <x:c r="B5" t="str">
        <x:v>U004</x:v>
      </x:c>
      <x:c r="C5" t="str">
        <x:f>TRIM(B5)</x:f>
        <x:v>U004</x:v>
      </x:c>
      <x:c r="D5" t="str">
        <x:f>IFERROR(VLOOKUP(C5,DanhMucNguoiDung!$A$2:$C$9,2,FALSE),"Chưa cập nhật")</x:f>
        <x:v>Phạm Hải Dương</x:v>
      </x:c>
      <x:c r="E5" t="str">
        <x:v>Thanh toán học phí</x:v>
      </x:c>
      <x:c r="F5" s="12" t="n">
        <x:v>1200000</x:v>
      </x:c>
      <x:c r="G5" s="12" t="n">
        <x:v>12000</x:v>
      </x:c>
      <x:c r="H5" s="12" t="n">
        <x:v>0</x:v>
      </x:c>
      <x:c r="I5" s="12" t="n">
        <x:f>F5-G5-H5</x:f>
        <x:v>1188000</x:v>
      </x:c>
      <x:c r="K5" t="str">
        <x:v>T10</x:v>
      </x:c>
      <x:c r="L5" s="12" t="n">
        <x:v>14600000</x:v>
      </x:c>
      <x:c r="M5" s="12" t="n">
        <x:v>16800000</x:v>
      </x:c>
      <x:c r="N5" s="18" t="n">
        <x:v>0.151</x:v>
      </x:c>
    </x:row>
    <x:row r="6">
      <x:c r="A6" t="str">
        <x:v>GD005</x:v>
      </x:c>
      <x:c r="B6" t="str">
        <x:v>U005 </x:v>
      </x:c>
      <x:c r="C6" t="str">
        <x:f>TRIM(B6)</x:f>
        <x:v>U005</x:v>
      </x:c>
      <x:c r="D6" t="str">
        <x:f>IFERROR(VLOOKUP(C6,DanhMucNguoiDung!$A$2:$C$9,2,FALSE),"Chưa cập nhật")</x:f>
        <x:v>Hoàng Gia Hân</x:v>
      </x:c>
      <x:c r="E6" t="str">
        <x:v>Nạp điện thoại</x:v>
      </x:c>
      <x:c r="F6" s="12" t="n">
        <x:v>150000</x:v>
      </x:c>
      <x:c r="G6" s="12" t="n">
        <x:v>3000</x:v>
      </x:c>
      <x:c r="H6" s="12" t="n">
        <x:v>7000</x:v>
      </x:c>
      <x:c r="I6" s="12" t="n">
        <x:f>F6-G6-H6</x:f>
        <x:v>140000</x:v>
      </x:c>
    </x:row>
    <x:row r="7">
      <x:c r="A7" t="str">
        <x:v>GD006</x:v>
      </x:c>
      <x:c r="B7" t="str">
        <x:v>U006</x:v>
      </x:c>
      <x:c r="C7" t="str">
        <x:f>TRIM(B7)</x:f>
        <x:v>U006</x:v>
      </x:c>
      <x:c r="D7" t="str">
        <x:f>IFERROR(VLOOKUP(C7,DanhMucNguoiDung!$A$2:$C$9,2,FALSE),"Chưa cập nhật")</x:f>
        <x:v>Vũ Minh Khoa</x:v>
      </x:c>
      <x:c r="E7" t="str">
        <x:v>Thanh toán QR</x:v>
      </x:c>
      <x:c r="F7" s="12" t="n">
        <x:v>420000</x:v>
      </x:c>
      <x:c r="G7" s="12" t="n">
        <x:v>8400</x:v>
      </x:c>
      <x:c r="H7" s="12" t="n">
        <x:v>0</x:v>
      </x:c>
      <x:c r="I7" s="12" t="n">
        <x:f>F7-G7-H7</x:f>
        <x:v>411600</x:v>
      </x:c>
    </x:row>
    <x:row r="8">
      <x:c r="A8" t="str">
        <x:v>GD007</x:v>
      </x:c>
      <x:c r="B8" t="str">
        <x:v>U999</x:v>
      </x:c>
      <x:c r="C8" t="str">
        <x:f>TRIM(B8)</x:f>
        <x:v>U999</x:v>
      </x:c>
      <x:c r="D8" t="str">
        <x:f>IFERROR(VLOOKUP(C8,DanhMucNguoiDung!$A$2:$C$9,2,FALSE),"Chưa cập nhật")</x:f>
        <x:v>Chưa cập nhật</x:v>
      </x:c>
      <x:c r="E8" t="str">
        <x:v>Nạp điện thoại</x:v>
      </x:c>
      <x:c r="F8" s="12" t="n">
        <x:v>200000</x:v>
      </x:c>
      <x:c r="G8" s="12" t="n">
        <x:v>4000</x:v>
      </x:c>
      <x:c r="H8" s="12" t="n">
        <x:v>8000</x:v>
      </x:c>
      <x:c r="I8" s="12" t="n">
        <x:f>F8-G8-H8</x:f>
        <x:v>188000</x:v>
      </x:c>
    </x:row>
    <x:row r="9">
      <x:c r="A9" t="str">
        <x:v>GD008</x:v>
      </x:c>
      <x:c r="B9" t="str">
        <x:v>U007</x:v>
      </x:c>
      <x:c r="C9" t="str">
        <x:f>TRIM(B9)</x:f>
        <x:v>U007</x:v>
      </x:c>
      <x:c r="D9" t="str">
        <x:f>IFERROR(VLOOKUP(C9,DanhMucNguoiDung!$A$2:$C$9,2,FALSE),"Chưa cập nhật")</x:f>
        <x:v>Đỗ Lan Mai</x:v>
      </x:c>
      <x:c r="E9" t="str">
        <x:v>Thanh toán QR</x:v>
      </x:c>
      <x:c r="F9" s="12" t="n">
        <x:v>350000</x:v>
      </x:c>
      <x:c r="G9" s="12" t="n">
        <x:v>7000</x:v>
      </x:c>
      <x:c r="H9" s="12" t="n">
        <x:v>0</x:v>
      </x:c>
      <x:c r="I9" s="12" t="n">
        <x:f>F9-G9-H9</x:f>
        <x:v>343000</x:v>
      </x:c>
    </x:row>
    <x:row r="10">
      <x:c r="A10" t="str">
        <x:v>GD009</x:v>
      </x:c>
      <x:c r="B10" t="str">
        <x:v>U008 </x:v>
      </x:c>
      <x:c r="C10" t="str">
        <x:f>TRIM(B10)</x:f>
        <x:v>U008</x:v>
      </x:c>
      <x:c r="D10" t="str">
        <x:f>IFERROR(VLOOKUP(C10,DanhMucNguoiDung!$A$2:$C$9,2,FALSE),"Chưa cập nhật")</x:f>
        <x:v>Ngô Phúc Nam</x:v>
      </x:c>
      <x:c r="E10" t="str">
        <x:v>Nạp điện thoại</x:v>
      </x:c>
      <x:c r="F10" s="12" t="n">
        <x:v>220000</x:v>
      </x:c>
      <x:c r="G10" s="12" t="n">
        <x:v>4400</x:v>
      </x:c>
      <x:c r="H10" s="12" t="n">
        <x:v>9000</x:v>
      </x:c>
      <x:c r="I10" s="12" t="n">
        <x:f>F10-G10-H10</x:f>
        <x:v>206600</x:v>
      </x:c>
    </x:row>
    <x:row r="11">
      <x:c r="A11" t="str">
        <x:v>GD010</x:v>
      </x:c>
      <x:c r="B11" t="str">
        <x:v>U001</x:v>
      </x:c>
      <x:c r="C11" t="str">
        <x:f>TRIM(B11)</x:f>
        <x:v>U001</x:v>
      </x:c>
      <x:c r="D11" t="str">
        <x:f>IFERROR(VLOOKUP(C11,DanhMucNguoiDung!$A$2:$C$9,2,FALSE),"Chưa cập nhật")</x:f>
        <x:v>Nguyễn Minh An</x:v>
      </x:c>
      <x:c r="E11" t="str">
        <x:v>Thanh toán học phí</x:v>
      </x:c>
      <x:c r="F11" s="12" t="n">
        <x:v>900000</x:v>
      </x:c>
      <x:c r="G11" s="12" t="n">
        <x:v>9000</x:v>
      </x:c>
      <x:c r="H11" s="12" t="n">
        <x:v>0</x:v>
      </x:c>
      <x:c r="I11" s="12" t="n">
        <x:f>F11-G11-H11</x:f>
        <x:v>891000</x:v>
      </x:c>
    </x:row>
    <x:row r="12">
      <x:c r="A12" t="str">
        <x:v>GD011</x:v>
      </x:c>
      <x:c r="B12" t="str">
        <x:v>U003</x:v>
      </x:c>
      <x:c r="C12" t="str">
        <x:f>TRIM(B12)</x:f>
        <x:v>U003</x:v>
      </x:c>
      <x:c r="D12" t="str">
        <x:f>IFERROR(VLOOKUP(C12,DanhMucNguoiDung!$A$2:$C$9,2,FALSE),"Chưa cập nhật")</x:f>
        <x:v>Lê Quốc Cường</x:v>
      </x:c>
      <x:c r="E12" t="str">
        <x:v>Nạp điện thoại</x:v>
      </x:c>
      <x:c r="F12" s="12" t="n">
        <x:v>180000</x:v>
      </x:c>
      <x:c r="G12" s="12" t="n">
        <x:v>3600</x:v>
      </x:c>
      <x:c r="H12" s="12" t="n">
        <x:v>8000</x:v>
      </x:c>
      <x:c r="I12" s="12" t="n">
        <x:f>F12-G12-H12</x:f>
        <x:v>168400</x:v>
      </x:c>
    </x:row>
    <x:row r="13">
      <x:c r="A13" t="str">
        <x:v>GD012</x:v>
      </x:c>
      <x:c r="B13" t="str">
        <x:v>U005</x:v>
      </x:c>
      <x:c r="C13" t="str">
        <x:f>TRIM(B13)</x:f>
        <x:v>U005</x:v>
      </x:c>
      <x:c r="D13" t="str">
        <x:f>IFERROR(VLOOKUP(C13,DanhMucNguoiDung!$A$2:$C$9,2,FALSE),"Chưa cập nhật")</x:f>
        <x:v>Hoàng Gia Hân</x:v>
      </x:c>
      <x:c r="E13" t="str">
        <x:v>Thanh toán QR</x:v>
      </x:c>
      <x:c r="F13" s="12" t="n">
        <x:v>510000</x:v>
      </x:c>
      <x:c r="G13" s="12" t="n">
        <x:v>10200</x:v>
      </x:c>
      <x:c r="H13" s="12" t="n">
        <x:v>0</x:v>
      </x:c>
      <x:c r="I13" s="12" t="n">
        <x:f>F13-G13-H13</x:f>
        <x:v>499800</x:v>
      </x:c>
    </x:row>
  </x:sheetData>
  <x:pageMargins left="0.7" right="0.7" top="0.75" bottom="0.75" header="0.3" footer="0.3"/>
  <x:tableParts count="1">
    <x:tablePart xmlns:r="http://schemas.openxmlformats.org/officeDocument/2006/relationships" r:id="Re2e3fff86ff24441"/>
  </x:tableParts>
</x:worksheet>
</file>