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377f96137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rusDB" sheetId="1" r:id="R0118299e176a413f"/>
    <x:sheet xmlns:r="http://schemas.openxmlformats.org/officeDocument/2006/relationships" name="CanhBao" sheetId="2" r:id="R929d14b52c38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a3cd5164b43f3" /><Relationship Type="http://schemas.openxmlformats.org/officeDocument/2006/relationships/theme" Target="/xl/theme/theme1.xml" Id="R7db6012bc542479a" /><Relationship Type="http://schemas.openxmlformats.org/officeDocument/2006/relationships/sharedStrings" Target="/xl/sharedStrings.xml" Id="Re755bf4bb4af4967" /><Relationship Type="http://schemas.openxmlformats.org/officeDocument/2006/relationships/worksheet" Target="/xl/worksheets/sheet1.xml" Id="R0118299e176a413f" /><Relationship Type="http://schemas.openxmlformats.org/officeDocument/2006/relationships/worksheet" Target="/xl/worksheets/sheet2.xml" Id="R929d14b52c384635" /></Relationships>
</file>

<file path=xl/tables/table1.xml><?xml version="1.0" encoding="utf-8"?>
<x:table xmlns:x="http://schemas.openxmlformats.org/spreadsheetml/2006/main" id="1" name="CanhBaoTable" displayName="CanhBaoTable" ref="A1:H101" headerRowCount="1" totalsRowCount="0" totalsRowShown="0">
  <x:tableColumns count="8">
    <x:tableColumn id="1" name="ID"/>
    <x:tableColumn id="2" name="Thời gian"/>
    <x:tableColumn id="3" name="Mã độc gốc"/>
    <x:tableColumn id="4" name="Mã độc sạch"/>
    <x:tableColumn id="5" name="Tên loại"/>
    <x:tableColumn id="6" name="Mức độ"/>
    <x:tableColumn id="7" name="IP nguồn"/>
    <x:tableColumn id="8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4a18eb1e73490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28" hidden="0" customWidth="1"/>
  </x:cols>
  <x:sheetData>
    <x:row r="1">
      <x:c r="A1" s="10" t="str">
        <x:v>Mã độc</x:v>
      </x:c>
      <x:c r="B1" s="10" t="str">
        <x:v>Tên loại</x:v>
      </x:c>
      <x:c r="C1" s="10" t="str">
        <x:v>Mức độ</x:v>
      </x:c>
      <x:c r="D1" s="10" t="str">
        <x:v>Khuyến nghị</x:v>
      </x:c>
    </x:row>
    <x:row r="2">
      <x:c r="A2" t="str">
        <x:v>MAL01</x:v>
      </x:c>
      <x:c r="B2" t="str">
        <x:v>Trojan</x:v>
      </x:c>
      <x:c r="C2" t="str">
        <x:v>Cao</x:v>
      </x:c>
      <x:c r="D2" t="str">
        <x:v>Cô lập máy</x:v>
      </x:c>
    </x:row>
    <x:row r="3">
      <x:c r="A3" t="str">
        <x:v>MAL02</x:v>
      </x:c>
      <x:c r="B3" t="str">
        <x:v>Ransomware</x:v>
      </x:c>
      <x:c r="C3" t="str">
        <x:v>Nghiêm trọng</x:v>
      </x:c>
      <x:c r="D3" t="str">
        <x:v>Ngắt mạng + ứng cứu</x:v>
      </x:c>
    </x:row>
    <x:row r="4">
      <x:c r="A4" t="str">
        <x:v>MAL03</x:v>
      </x:c>
      <x:c r="B4" t="str">
        <x:v>Spyware</x:v>
      </x:c>
      <x:c r="C4" t="str">
        <x:v>Trung bình</x:v>
      </x:c>
      <x:c r="D4" t="str">
        <x:v>Quét và đổi mật khẩu</x:v>
      </x:c>
    </x:row>
    <x:row r="5">
      <x:c r="A5" t="str">
        <x:v>MAL04</x:v>
      </x:c>
      <x:c r="B5" t="str">
        <x:v>Worm</x:v>
      </x:c>
      <x:c r="C5" t="str">
        <x:v>Cao</x:v>
      </x:c>
      <x:c r="D5" t="str">
        <x:v>Chặn lây lan</x:v>
      </x:c>
    </x:row>
    <x:row r="6">
      <x:c r="A6" t="str">
        <x:v>MAL05</x:v>
      </x:c>
      <x:c r="B6" t="str">
        <x:v>Adware</x:v>
      </x:c>
      <x:c r="C6" t="str">
        <x:v>Thấp</x:v>
      </x:c>
      <x:c r="D6" t="str">
        <x:v>Gỡ phần mềm</x:v>
      </x:c>
    </x:row>
    <x:row r="7">
      <x:c r="A7" t="str">
        <x:v>MAL06</x:v>
      </x:c>
      <x:c r="B7" t="str">
        <x:v>Backdoor</x:v>
      </x:c>
      <x:c r="C7" t="str">
        <x:v>Nghiêm trọng</x:v>
      </x:c>
      <x:c r="D7" t="str">
        <x:v>Cô lập + điều tra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5" hidden="0" customWidth="1"/>
    <x:col min="7" max="7" width="16" hidden="0" customWidth="1"/>
    <x:col min="8" max="8" width="14" hidden="0" customWidth="1"/>
  </x:cols>
  <x:sheetData>
    <x:row r="1">
      <x:c r="A1" s="10" t="str">
        <x:v>ID</x:v>
      </x:c>
      <x:c r="B1" s="10" t="str">
        <x:v>Thời gian</x:v>
      </x:c>
      <x:c r="C1" s="10" t="str">
        <x:v>Mã độc gốc</x:v>
      </x:c>
      <x:c r="D1" s="10" t="str">
        <x:v>Mã độc sạch</x:v>
      </x:c>
      <x:c r="E1" s="10" t="str">
        <x:v>Tên loại</x:v>
      </x:c>
      <x:c r="F1" s="10" t="str">
        <x:v>Mức độ</x:v>
      </x:c>
      <x:c r="G1" s="10" t="str">
        <x:v>IP nguồn</x:v>
      </x:c>
      <x:c r="H1" s="10" t="str">
        <x:v>Trạng thái</x:v>
      </x:c>
    </x:row>
    <x:row r="2">
      <x:c r="A2" t="str">
        <x:v>A001</x:v>
      </x:c>
      <x:c r="B2" t="str">
        <x:v>2026-10-02 01:07</x:v>
      </x:c>
      <x:c r="C2" t="str">
        <x:v>MAL02</x:v>
      </x:c>
      <x:c r="D2" t="str">
        <x:f>TRIM(C2)</x:f>
        <x:v>MAL02</x:v>
      </x:c>
      <x:c r="E2" t="str">
        <x:f>IFERROR(VLOOKUP(D2,VirusDB!$A$2:$D$7,2,FALSE),"Không xác định")</x:f>
        <x:v>Ransomware</x:v>
      </x:c>
      <x:c r="F2" t="str">
        <x:f>IFERROR(VLOOKUP(D2,VirusDB!$A$2:$D$7,3,FALSE),"Không xác định")</x:f>
        <x:v>Nghiêm trọng</x:v>
      </x:c>
      <x:c r="G2" t="str">
        <x:v>10.0.1.11</x:v>
      </x:c>
      <x:c r="H2" t="str">
        <x:v>Mới</x:v>
      </x:c>
    </x:row>
    <x:row r="3">
      <x:c r="A3" t="str">
        <x:v>A002</x:v>
      </x:c>
      <x:c r="B3" t="str">
        <x:v>2026-10-03 02:14</x:v>
      </x:c>
      <x:c r="C3" t="str">
        <x:v>MAL03</x:v>
      </x:c>
      <x:c r="D3" t="str">
        <x:f>TRIM(C3)</x:f>
        <x:v>MAL03</x:v>
      </x:c>
      <x:c r="E3" t="str">
        <x:f>IFERROR(VLOOKUP(D3,VirusDB!$A$2:$D$7,2,FALSE),"Không xác định")</x:f>
        <x:v>Spyware</x:v>
      </x:c>
      <x:c r="F3" t="str">
        <x:f>IFERROR(VLOOKUP(D3,VirusDB!$A$2:$D$7,3,FALSE),"Không xác định")</x:f>
        <x:v>Trung bình</x:v>
      </x:c>
      <x:c r="G3" t="str">
        <x:v>10.0.2.12</x:v>
      </x:c>
      <x:c r="H3" t="str">
        <x:v>Mới</x:v>
      </x:c>
    </x:row>
    <x:row r="4">
      <x:c r="A4" t="str">
        <x:v>A003</x:v>
      </x:c>
      <x:c r="B4" t="str">
        <x:v>2026-10-04 03:21</x:v>
      </x:c>
      <x:c r="C4" t="str">
        <x:v>MAL04</x:v>
      </x:c>
      <x:c r="D4" t="str">
        <x:f>TRIM(C4)</x:f>
        <x:v>MAL04</x:v>
      </x:c>
      <x:c r="E4" t="str">
        <x:f>IFERROR(VLOOKUP(D4,VirusDB!$A$2:$D$7,2,FALSE),"Không xác định")</x:f>
        <x:v>Worm</x:v>
      </x:c>
      <x:c r="F4" t="str">
        <x:f>IFERROR(VLOOKUP(D4,VirusDB!$A$2:$D$7,3,FALSE),"Không xác định")</x:f>
        <x:v>Cao</x:v>
      </x:c>
      <x:c r="G4" t="str">
        <x:v>10.0.3.13</x:v>
      </x:c>
      <x:c r="H4" t="str">
        <x:v>Đã xử lý</x:v>
      </x:c>
    </x:row>
    <x:row r="5">
      <x:c r="A5" t="str">
        <x:v>A004</x:v>
      </x:c>
      <x:c r="B5" t="str">
        <x:v>2026-10-05 04:28</x:v>
      </x:c>
      <x:c r="C5" t="str">
        <x:v>MAL05</x:v>
      </x:c>
      <x:c r="D5" t="str">
        <x:f>TRIM(C5)</x:f>
        <x:v>MAL05</x:v>
      </x:c>
      <x:c r="E5" t="str">
        <x:f>IFERROR(VLOOKUP(D5,VirusDB!$A$2:$D$7,2,FALSE),"Không xác định")</x:f>
        <x:v>Adware</x:v>
      </x:c>
      <x:c r="F5" t="str">
        <x:f>IFERROR(VLOOKUP(D5,VirusDB!$A$2:$D$7,3,FALSE),"Không xác định")</x:f>
        <x:v>Thấp</x:v>
      </x:c>
      <x:c r="G5" t="str">
        <x:v>10.0.4.14</x:v>
      </x:c>
      <x:c r="H5" t="str">
        <x:v>Mới</x:v>
      </x:c>
    </x:row>
    <x:row r="6">
      <x:c r="A6" t="str">
        <x:v>A005</x:v>
      </x:c>
      <x:c r="B6" t="str">
        <x:v>2026-10-06 05:35</x:v>
      </x:c>
      <x:c r="C6" t="str">
        <x:v>MAL06</x:v>
      </x:c>
      <x:c r="D6" t="str">
        <x:f>TRIM(C6)</x:f>
        <x:v>MAL06</x:v>
      </x:c>
      <x:c r="E6" t="str">
        <x:f>IFERROR(VLOOKUP(D6,VirusDB!$A$2:$D$7,2,FALSE),"Không xác định")</x:f>
        <x:v>Backdoor</x:v>
      </x:c>
      <x:c r="F6" t="str">
        <x:f>IFERROR(VLOOKUP(D6,VirusDB!$A$2:$D$7,3,FALSE),"Không xác định")</x:f>
        <x:v>Nghiêm trọng</x:v>
      </x:c>
      <x:c r="G6" t="str">
        <x:v>10.0.5.15</x:v>
      </x:c>
      <x:c r="H6" t="str">
        <x:v>Mới</x:v>
      </x:c>
    </x:row>
    <x:row r="7">
      <x:c r="A7" t="str">
        <x:v>A006</x:v>
      </x:c>
      <x:c r="B7" t="str">
        <x:v>2026-10-07 06:42</x:v>
      </x:c>
      <x:c r="C7" t="str">
        <x:v>MAL01</x:v>
      </x:c>
      <x:c r="D7" t="str">
        <x:f>TRIM(C7)</x:f>
        <x:v>MAL01</x:v>
      </x:c>
      <x:c r="E7" t="str">
        <x:f>IFERROR(VLOOKUP(D7,VirusDB!$A$2:$D$7,2,FALSE),"Không xác định")</x:f>
        <x:v>Trojan</x:v>
      </x:c>
      <x:c r="F7" t="str">
        <x:f>IFERROR(VLOOKUP(D7,VirusDB!$A$2:$D$7,3,FALSE),"Không xác định")</x:f>
        <x:v>Cao</x:v>
      </x:c>
      <x:c r="G7" t="str">
        <x:v>10.0.6.16</x:v>
      </x:c>
      <x:c r="H7" t="str">
        <x:v>Đã xử lý</x:v>
      </x:c>
    </x:row>
    <x:row r="8">
      <x:c r="A8" t="str">
        <x:v>A007</x:v>
      </x:c>
      <x:c r="B8" t="str">
        <x:v>2026-10-08 07:49</x:v>
      </x:c>
      <x:c r="C8" t="str">
        <x:v>MAL02</x:v>
      </x:c>
      <x:c r="D8" t="str">
        <x:f>TRIM(C8)</x:f>
        <x:v>MAL02</x:v>
      </x:c>
      <x:c r="E8" t="str">
        <x:f>IFERROR(VLOOKUP(D8,VirusDB!$A$2:$D$7,2,FALSE),"Không xác định")</x:f>
        <x:v>Ransomware</x:v>
      </x:c>
      <x:c r="F8" t="str">
        <x:f>IFERROR(VLOOKUP(D8,VirusDB!$A$2:$D$7,3,FALSE),"Không xác định")</x:f>
        <x:v>Nghiêm trọng</x:v>
      </x:c>
      <x:c r="G8" t="str">
        <x:v>10.0.7.17</x:v>
      </x:c>
      <x:c r="H8" t="str">
        <x:v>Mới</x:v>
      </x:c>
    </x:row>
    <x:row r="9">
      <x:c r="A9" t="str">
        <x:v>A008</x:v>
      </x:c>
      <x:c r="B9" t="str">
        <x:v>2026-10-09 08:56</x:v>
      </x:c>
      <x:c r="C9" t="str">
        <x:v>MAL03</x:v>
      </x:c>
      <x:c r="D9" t="str">
        <x:f>TRIM(C9)</x:f>
        <x:v>MAL03</x:v>
      </x:c>
      <x:c r="E9" t="str">
        <x:f>IFERROR(VLOOKUP(D9,VirusDB!$A$2:$D$7,2,FALSE),"Không xác định")</x:f>
        <x:v>Spyware</x:v>
      </x:c>
      <x:c r="F9" t="str">
        <x:f>IFERROR(VLOOKUP(D9,VirusDB!$A$2:$D$7,3,FALSE),"Không xác định")</x:f>
        <x:v>Trung bình</x:v>
      </x:c>
      <x:c r="G9" t="str">
        <x:v>10.0.8.18</x:v>
      </x:c>
      <x:c r="H9" t="str">
        <x:v>Mới</x:v>
      </x:c>
    </x:row>
    <x:row r="10">
      <x:c r="A10" t="str">
        <x:v>A009</x:v>
      </x:c>
      <x:c r="B10" t="str">
        <x:v>2026-10-10 09:03</x:v>
      </x:c>
      <x:c r="C10" t="str">
        <x:v>MAL04</x:v>
      </x:c>
      <x:c r="D10" t="str">
        <x:f>TRIM(C10)</x:f>
        <x:v>MAL04</x:v>
      </x:c>
      <x:c r="E10" t="str">
        <x:f>IFERROR(VLOOKUP(D10,VirusDB!$A$2:$D$7,2,FALSE),"Không xác định")</x:f>
        <x:v>Worm</x:v>
      </x:c>
      <x:c r="F10" t="str">
        <x:f>IFERROR(VLOOKUP(D10,VirusDB!$A$2:$D$7,3,FALSE),"Không xác định")</x:f>
        <x:v>Cao</x:v>
      </x:c>
      <x:c r="G10" t="str">
        <x:v>10.0.9.19</x:v>
      </x:c>
      <x:c r="H10" t="str">
        <x:v>Đã xử lý</x:v>
      </x:c>
    </x:row>
    <x:row r="11">
      <x:c r="A11" t="str">
        <x:v>A010</x:v>
      </x:c>
      <x:c r="B11" t="str">
        <x:v>2026-10-11 10:10</x:v>
      </x:c>
      <x:c r="C11" t="str">
        <x:v>MAL05</x:v>
      </x:c>
      <x:c r="D11" t="str">
        <x:f>TRIM(C11)</x:f>
        <x:v>MAL05</x:v>
      </x:c>
      <x:c r="E11" t="str">
        <x:f>IFERROR(VLOOKUP(D11,VirusDB!$A$2:$D$7,2,FALSE),"Không xác định")</x:f>
        <x:v>Adware</x:v>
      </x:c>
      <x:c r="F11" t="str">
        <x:f>IFERROR(VLOOKUP(D11,VirusDB!$A$2:$D$7,3,FALSE),"Không xác định")</x:f>
        <x:v>Thấp</x:v>
      </x:c>
      <x:c r="G11" t="str">
        <x:v>10.0.10.20</x:v>
      </x:c>
      <x:c r="H11" t="str">
        <x:v>Mới</x:v>
      </x:c>
    </x:row>
    <x:row r="12">
      <x:c r="A12" t="str">
        <x:v>A011</x:v>
      </x:c>
      <x:c r="B12" t="str">
        <x:v>2026-10-12 11:17</x:v>
      </x:c>
      <x:c r="C12" t="str">
        <x:v>MAL06 </x:v>
      </x:c>
      <x:c r="D12" t="str">
        <x:f>TRIM(C12)</x:f>
        <x:v>MAL06</x:v>
      </x:c>
      <x:c r="E12" t="str">
        <x:f>IFERROR(VLOOKUP(D12,VirusDB!$A$2:$D$7,2,FALSE),"Không xác định")</x:f>
        <x:v>Backdoor</x:v>
      </x:c>
      <x:c r="F12" t="str">
        <x:f>IFERROR(VLOOKUP(D12,VirusDB!$A$2:$D$7,3,FALSE),"Không xác định")</x:f>
        <x:v>Nghiêm trọng</x:v>
      </x:c>
      <x:c r="G12" t="str">
        <x:v>10.0.11.21</x:v>
      </x:c>
      <x:c r="H12" t="str">
        <x:v>Mới</x:v>
      </x:c>
    </x:row>
    <x:row r="13">
      <x:c r="A13" t="str">
        <x:v>A012</x:v>
      </x:c>
      <x:c r="B13" t="str">
        <x:v>2026-10-01 12:24</x:v>
      </x:c>
      <x:c r="C13" t="str">
        <x:v>MAL01</x:v>
      </x:c>
      <x:c r="D13" t="str">
        <x:f>TRIM(C13)</x:f>
        <x:v>MAL01</x:v>
      </x:c>
      <x:c r="E13" t="str">
        <x:f>IFERROR(VLOOKUP(D13,VirusDB!$A$2:$D$7,2,FALSE),"Không xác định")</x:f>
        <x:v>Trojan</x:v>
      </x:c>
      <x:c r="F13" t="str">
        <x:f>IFERROR(VLOOKUP(D13,VirusDB!$A$2:$D$7,3,FALSE),"Không xác định")</x:f>
        <x:v>Cao</x:v>
      </x:c>
      <x:c r="G13" t="str">
        <x:v>10.0.0.22</x:v>
      </x:c>
      <x:c r="H13" t="str">
        <x:v>Đã xử lý</x:v>
      </x:c>
    </x:row>
    <x:row r="14">
      <x:c r="A14" t="str">
        <x:v>A013</x:v>
      </x:c>
      <x:c r="B14" t="str">
        <x:v>2026-10-02 13:31</x:v>
      </x:c>
      <x:c r="C14" t="str">
        <x:v>MAL02</x:v>
      </x:c>
      <x:c r="D14" t="str">
        <x:f>TRIM(C14)</x:f>
        <x:v>MAL02</x:v>
      </x:c>
      <x:c r="E14" t="str">
        <x:f>IFERROR(VLOOKUP(D14,VirusDB!$A$2:$D$7,2,FALSE),"Không xác định")</x:f>
        <x:v>Ransomware</x:v>
      </x:c>
      <x:c r="F14" t="str">
        <x:f>IFERROR(VLOOKUP(D14,VirusDB!$A$2:$D$7,3,FALSE),"Không xác định")</x:f>
        <x:v>Nghiêm trọng</x:v>
      </x:c>
      <x:c r="G14" t="str">
        <x:v>10.0.1.23</x:v>
      </x:c>
      <x:c r="H14" t="str">
        <x:v>Mới</x:v>
      </x:c>
    </x:row>
    <x:row r="15">
      <x:c r="A15" t="str">
        <x:v>A014</x:v>
      </x:c>
      <x:c r="B15" t="str">
        <x:v>2026-10-03 14:38</x:v>
      </x:c>
      <x:c r="C15" t="str">
        <x:v>MAL03</x:v>
      </x:c>
      <x:c r="D15" t="str">
        <x:f>TRIM(C15)</x:f>
        <x:v>MAL03</x:v>
      </x:c>
      <x:c r="E15" t="str">
        <x:f>IFERROR(VLOOKUP(D15,VirusDB!$A$2:$D$7,2,FALSE),"Không xác định")</x:f>
        <x:v>Spyware</x:v>
      </x:c>
      <x:c r="F15" t="str">
        <x:f>IFERROR(VLOOKUP(D15,VirusDB!$A$2:$D$7,3,FALSE),"Không xác định")</x:f>
        <x:v>Trung bình</x:v>
      </x:c>
      <x:c r="G15" t="str">
        <x:v>10.0.2.24</x:v>
      </x:c>
      <x:c r="H15" t="str">
        <x:v>Mới</x:v>
      </x:c>
    </x:row>
    <x:row r="16">
      <x:c r="A16" t="str">
        <x:v>A015</x:v>
      </x:c>
      <x:c r="B16" t="str">
        <x:v>2026-10-04 15:45</x:v>
      </x:c>
      <x:c r="C16" t="str">
        <x:v>MAL04</x:v>
      </x:c>
      <x:c r="D16" t="str">
        <x:f>TRIM(C16)</x:f>
        <x:v>MAL04</x:v>
      </x:c>
      <x:c r="E16" t="str">
        <x:f>IFERROR(VLOOKUP(D16,VirusDB!$A$2:$D$7,2,FALSE),"Không xác định")</x:f>
        <x:v>Worm</x:v>
      </x:c>
      <x:c r="F16" t="str">
        <x:f>IFERROR(VLOOKUP(D16,VirusDB!$A$2:$D$7,3,FALSE),"Không xác định")</x:f>
        <x:v>Cao</x:v>
      </x:c>
      <x:c r="G16" t="str">
        <x:v>10.0.3.25</x:v>
      </x:c>
      <x:c r="H16" t="str">
        <x:v>Đã xử lý</x:v>
      </x:c>
    </x:row>
    <x:row r="17">
      <x:c r="A17" t="str">
        <x:v>A016</x:v>
      </x:c>
      <x:c r="B17" t="str">
        <x:v>2026-10-05 16:52</x:v>
      </x:c>
      <x:c r="C17" t="str">
        <x:v>MAL05</x:v>
      </x:c>
      <x:c r="D17" t="str">
        <x:f>TRIM(C17)</x:f>
        <x:v>MAL05</x:v>
      </x:c>
      <x:c r="E17" t="str">
        <x:f>IFERROR(VLOOKUP(D17,VirusDB!$A$2:$D$7,2,FALSE),"Không xác định")</x:f>
        <x:v>Adware</x:v>
      </x:c>
      <x:c r="F17" t="str">
        <x:f>IFERROR(VLOOKUP(D17,VirusDB!$A$2:$D$7,3,FALSE),"Không xác định")</x:f>
        <x:v>Thấp</x:v>
      </x:c>
      <x:c r="G17" t="str">
        <x:v>10.0.4.26</x:v>
      </x:c>
      <x:c r="H17" t="str">
        <x:v>Mới</x:v>
      </x:c>
    </x:row>
    <x:row r="18">
      <x:c r="A18" t="str">
        <x:v>A017</x:v>
      </x:c>
      <x:c r="B18" t="str">
        <x:v>2026-10-06 17:59</x:v>
      </x:c>
      <x:c r="C18" t="str">
        <x:v>MAL06</x:v>
      </x:c>
      <x:c r="D18" t="str">
        <x:f>TRIM(C18)</x:f>
        <x:v>MAL06</x:v>
      </x:c>
      <x:c r="E18" t="str">
        <x:f>IFERROR(VLOOKUP(D18,VirusDB!$A$2:$D$7,2,FALSE),"Không xác định")</x:f>
        <x:v>Backdoor</x:v>
      </x:c>
      <x:c r="F18" t="str">
        <x:f>IFERROR(VLOOKUP(D18,VirusDB!$A$2:$D$7,3,FALSE),"Không xác định")</x:f>
        <x:v>Nghiêm trọng</x:v>
      </x:c>
      <x:c r="G18" t="str">
        <x:v>10.0.5.27</x:v>
      </x:c>
      <x:c r="H18" t="str">
        <x:v>Mới</x:v>
      </x:c>
    </x:row>
    <x:row r="19">
      <x:c r="A19" t="str">
        <x:v>A018</x:v>
      </x:c>
      <x:c r="B19" t="str">
        <x:v>2026-10-07 18:06</x:v>
      </x:c>
      <x:c r="C19" t="str">
        <x:v>MAL01</x:v>
      </x:c>
      <x:c r="D19" t="str">
        <x:f>TRIM(C19)</x:f>
        <x:v>MAL01</x:v>
      </x:c>
      <x:c r="E19" t="str">
        <x:f>IFERROR(VLOOKUP(D19,VirusDB!$A$2:$D$7,2,FALSE),"Không xác định")</x:f>
        <x:v>Trojan</x:v>
      </x:c>
      <x:c r="F19" t="str">
        <x:f>IFERROR(VLOOKUP(D19,VirusDB!$A$2:$D$7,3,FALSE),"Không xác định")</x:f>
        <x:v>Cao</x:v>
      </x:c>
      <x:c r="G19" t="str">
        <x:v>10.0.6.28</x:v>
      </x:c>
      <x:c r="H19" t="str">
        <x:v>Đã xử lý</x:v>
      </x:c>
    </x:row>
    <x:row r="20">
      <x:c r="A20" t="str">
        <x:v>A019</x:v>
      </x:c>
      <x:c r="B20" t="str">
        <x:v>2026-10-08 19:13</x:v>
      </x:c>
      <x:c r="C20" t="str">
        <x:v>MAL02</x:v>
      </x:c>
      <x:c r="D20" t="str">
        <x:f>TRIM(C20)</x:f>
        <x:v>MAL02</x:v>
      </x:c>
      <x:c r="E20" t="str">
        <x:f>IFERROR(VLOOKUP(D20,VirusDB!$A$2:$D$7,2,FALSE),"Không xác định")</x:f>
        <x:v>Ransomware</x:v>
      </x:c>
      <x:c r="F20" t="str">
        <x:f>IFERROR(VLOOKUP(D20,VirusDB!$A$2:$D$7,3,FALSE),"Không xác định")</x:f>
        <x:v>Nghiêm trọng</x:v>
      </x:c>
      <x:c r="G20" t="str">
        <x:v>10.0.7.29</x:v>
      </x:c>
      <x:c r="H20" t="str">
        <x:v>Mới</x:v>
      </x:c>
    </x:row>
    <x:row r="21">
      <x:c r="A21" t="str">
        <x:v>A020</x:v>
      </x:c>
      <x:c r="B21" t="str">
        <x:v>2026-10-09 20:20</x:v>
      </x:c>
      <x:c r="C21" t="str">
        <x:v>MAL03</x:v>
      </x:c>
      <x:c r="D21" t="str">
        <x:f>TRIM(C21)</x:f>
        <x:v>MAL03</x:v>
      </x:c>
      <x:c r="E21" t="str">
        <x:f>IFERROR(VLOOKUP(D21,VirusDB!$A$2:$D$7,2,FALSE),"Không xác định")</x:f>
        <x:v>Spyware</x:v>
      </x:c>
      <x:c r="F21" t="str">
        <x:f>IFERROR(VLOOKUP(D21,VirusDB!$A$2:$D$7,3,FALSE),"Không xác định")</x:f>
        <x:v>Trung bình</x:v>
      </x:c>
      <x:c r="G21" t="str">
        <x:v>10.0.8.30</x:v>
      </x:c>
      <x:c r="H21" t="str">
        <x:v>Mới</x:v>
      </x:c>
    </x:row>
    <x:row r="22">
      <x:c r="A22" t="str">
        <x:v>A021</x:v>
      </x:c>
      <x:c r="B22" t="str">
        <x:v>2026-10-10 21:27</x:v>
      </x:c>
      <x:c r="C22" t="str">
        <x:v>MAL04</x:v>
      </x:c>
      <x:c r="D22" t="str">
        <x:f>TRIM(C22)</x:f>
        <x:v>MAL04</x:v>
      </x:c>
      <x:c r="E22" t="str">
        <x:f>IFERROR(VLOOKUP(D22,VirusDB!$A$2:$D$7,2,FALSE),"Không xác định")</x:f>
        <x:v>Worm</x:v>
      </x:c>
      <x:c r="F22" t="str">
        <x:f>IFERROR(VLOOKUP(D22,VirusDB!$A$2:$D$7,3,FALSE),"Không xác định")</x:f>
        <x:v>Cao</x:v>
      </x:c>
      <x:c r="G22" t="str">
        <x:v>10.0.9.31</x:v>
      </x:c>
      <x:c r="H22" t="str">
        <x:v>Đã xử lý</x:v>
      </x:c>
    </x:row>
    <x:row r="23">
      <x:c r="A23" t="str">
        <x:v>A022</x:v>
      </x:c>
      <x:c r="B23" t="str">
        <x:v>2026-10-11 22:34</x:v>
      </x:c>
      <x:c r="C23" t="str">
        <x:v>MAL05 </x:v>
      </x:c>
      <x:c r="D23" t="str">
        <x:f>TRIM(C23)</x:f>
        <x:v>MAL05</x:v>
      </x:c>
      <x:c r="E23" t="str">
        <x:f>IFERROR(VLOOKUP(D23,VirusDB!$A$2:$D$7,2,FALSE),"Không xác định")</x:f>
        <x:v>Adware</x:v>
      </x:c>
      <x:c r="F23" t="str">
        <x:f>IFERROR(VLOOKUP(D23,VirusDB!$A$2:$D$7,3,FALSE),"Không xác định")</x:f>
        <x:v>Thấp</x:v>
      </x:c>
      <x:c r="G23" t="str">
        <x:v>10.0.10.32</x:v>
      </x:c>
      <x:c r="H23" t="str">
        <x:v>Mới</x:v>
      </x:c>
    </x:row>
    <x:row r="24">
      <x:c r="A24" t="str">
        <x:v>A023</x:v>
      </x:c>
      <x:c r="B24" t="str">
        <x:v>2026-10-12 23:41</x:v>
      </x:c>
      <x:c r="C24" t="str">
        <x:v>MAL06</x:v>
      </x:c>
      <x:c r="D24" t="str">
        <x:f>TRIM(C24)</x:f>
        <x:v>MAL06</x:v>
      </x:c>
      <x:c r="E24" t="str">
        <x:f>IFERROR(VLOOKUP(D24,VirusDB!$A$2:$D$7,2,FALSE),"Không xác định")</x:f>
        <x:v>Backdoor</x:v>
      </x:c>
      <x:c r="F24" t="str">
        <x:f>IFERROR(VLOOKUP(D24,VirusDB!$A$2:$D$7,3,FALSE),"Không xác định")</x:f>
        <x:v>Nghiêm trọng</x:v>
      </x:c>
      <x:c r="G24" t="str">
        <x:v>10.0.11.33</x:v>
      </x:c>
      <x:c r="H24" t="str">
        <x:v>Mới</x:v>
      </x:c>
    </x:row>
    <x:row r="25">
      <x:c r="A25" t="str">
        <x:v>A024</x:v>
      </x:c>
      <x:c r="B25" t="str">
        <x:v>2026-10-01 00:48</x:v>
      </x:c>
      <x:c r="C25" t="str">
        <x:v>MAL01</x:v>
      </x:c>
      <x:c r="D25" t="str">
        <x:f>TRIM(C25)</x:f>
        <x:v>MAL01</x:v>
      </x:c>
      <x:c r="E25" t="str">
        <x:f>IFERROR(VLOOKUP(D25,VirusDB!$A$2:$D$7,2,FALSE),"Không xác định")</x:f>
        <x:v>Trojan</x:v>
      </x:c>
      <x:c r="F25" t="str">
        <x:f>IFERROR(VLOOKUP(D25,VirusDB!$A$2:$D$7,3,FALSE),"Không xác định")</x:f>
        <x:v>Cao</x:v>
      </x:c>
      <x:c r="G25" t="str">
        <x:v>10.0.0.34</x:v>
      </x:c>
      <x:c r="H25" t="str">
        <x:v>Đã xử lý</x:v>
      </x:c>
    </x:row>
    <x:row r="26">
      <x:c r="A26" t="str">
        <x:v>A025</x:v>
      </x:c>
      <x:c r="B26" t="str">
        <x:v>2026-10-02 01:55</x:v>
      </x:c>
      <x:c r="C26" t="str">
        <x:v>MAL02</x:v>
      </x:c>
      <x:c r="D26" t="str">
        <x:f>TRIM(C26)</x:f>
        <x:v>MAL02</x:v>
      </x:c>
      <x:c r="E26" t="str">
        <x:f>IFERROR(VLOOKUP(D26,VirusDB!$A$2:$D$7,2,FALSE),"Không xác định")</x:f>
        <x:v>Ransomware</x:v>
      </x:c>
      <x:c r="F26" t="str">
        <x:f>IFERROR(VLOOKUP(D26,VirusDB!$A$2:$D$7,3,FALSE),"Không xác định")</x:f>
        <x:v>Nghiêm trọng</x:v>
      </x:c>
      <x:c r="G26" t="str">
        <x:v>10.0.1.35</x:v>
      </x:c>
      <x:c r="H26" t="str">
        <x:v>Mới</x:v>
      </x:c>
    </x:row>
    <x:row r="27">
      <x:c r="A27" t="str">
        <x:v>A026</x:v>
      </x:c>
      <x:c r="B27" t="str">
        <x:v>2026-10-03 02:02</x:v>
      </x:c>
      <x:c r="C27" t="str">
        <x:v>MAL03</x:v>
      </x:c>
      <x:c r="D27" t="str">
        <x:f>TRIM(C27)</x:f>
        <x:v>MAL03</x:v>
      </x:c>
      <x:c r="E27" t="str">
        <x:f>IFERROR(VLOOKUP(D27,VirusDB!$A$2:$D$7,2,FALSE),"Không xác định")</x:f>
        <x:v>Spyware</x:v>
      </x:c>
      <x:c r="F27" t="str">
        <x:f>IFERROR(VLOOKUP(D27,VirusDB!$A$2:$D$7,3,FALSE),"Không xác định")</x:f>
        <x:v>Trung bình</x:v>
      </x:c>
      <x:c r="G27" t="str">
        <x:v>10.0.2.36</x:v>
      </x:c>
      <x:c r="H27" t="str">
        <x:v>Mới</x:v>
      </x:c>
    </x:row>
    <x:row r="28">
      <x:c r="A28" t="str">
        <x:v>A027</x:v>
      </x:c>
      <x:c r="B28" t="str">
        <x:v>2026-10-04 03:09</x:v>
      </x:c>
      <x:c r="C28" t="str">
        <x:v>MAL04</x:v>
      </x:c>
      <x:c r="D28" t="str">
        <x:f>TRIM(C28)</x:f>
        <x:v>MAL04</x:v>
      </x:c>
      <x:c r="E28" t="str">
        <x:f>IFERROR(VLOOKUP(D28,VirusDB!$A$2:$D$7,2,FALSE),"Không xác định")</x:f>
        <x:v>Worm</x:v>
      </x:c>
      <x:c r="F28" t="str">
        <x:f>IFERROR(VLOOKUP(D28,VirusDB!$A$2:$D$7,3,FALSE),"Không xác định")</x:f>
        <x:v>Cao</x:v>
      </x:c>
      <x:c r="G28" t="str">
        <x:v>10.0.3.37</x:v>
      </x:c>
      <x:c r="H28" t="str">
        <x:v>Đã xử lý</x:v>
      </x:c>
    </x:row>
    <x:row r="29">
      <x:c r="A29" t="str">
        <x:v>A028</x:v>
      </x:c>
      <x:c r="B29" t="str">
        <x:v>2026-10-05 04:16</x:v>
      </x:c>
      <x:c r="C29" t="str">
        <x:v>MAL05</x:v>
      </x:c>
      <x:c r="D29" t="str">
        <x:f>TRIM(C29)</x:f>
        <x:v>MAL05</x:v>
      </x:c>
      <x:c r="E29" t="str">
        <x:f>IFERROR(VLOOKUP(D29,VirusDB!$A$2:$D$7,2,FALSE),"Không xác định")</x:f>
        <x:v>Adware</x:v>
      </x:c>
      <x:c r="F29" t="str">
        <x:f>IFERROR(VLOOKUP(D29,VirusDB!$A$2:$D$7,3,FALSE),"Không xác định")</x:f>
        <x:v>Thấp</x:v>
      </x:c>
      <x:c r="G29" t="str">
        <x:v>10.0.4.38</x:v>
      </x:c>
      <x:c r="H29" t="str">
        <x:v>Mới</x:v>
      </x:c>
    </x:row>
    <x:row r="30">
      <x:c r="A30" t="str">
        <x:v>A029</x:v>
      </x:c>
      <x:c r="B30" t="str">
        <x:v>2026-10-06 05:23</x:v>
      </x:c>
      <x:c r="C30" t="str">
        <x:v>MAL06</x:v>
      </x:c>
      <x:c r="D30" t="str">
        <x:f>TRIM(C30)</x:f>
        <x:v>MAL06</x:v>
      </x:c>
      <x:c r="E30" t="str">
        <x:f>IFERROR(VLOOKUP(D30,VirusDB!$A$2:$D$7,2,FALSE),"Không xác định")</x:f>
        <x:v>Backdoor</x:v>
      </x:c>
      <x:c r="F30" t="str">
        <x:f>IFERROR(VLOOKUP(D30,VirusDB!$A$2:$D$7,3,FALSE),"Không xác định")</x:f>
        <x:v>Nghiêm trọng</x:v>
      </x:c>
      <x:c r="G30" t="str">
        <x:v>10.0.5.39</x:v>
      </x:c>
      <x:c r="H30" t="str">
        <x:v>Mới</x:v>
      </x:c>
    </x:row>
    <x:row r="31">
      <x:c r="A31" t="str">
        <x:v>A030</x:v>
      </x:c>
      <x:c r="B31" t="str">
        <x:v>2026-10-07 06:30</x:v>
      </x:c>
      <x:c r="C31" t="str">
        <x:v>MAL01</x:v>
      </x:c>
      <x:c r="D31" t="str">
        <x:f>TRIM(C31)</x:f>
        <x:v>MAL01</x:v>
      </x:c>
      <x:c r="E31" t="str">
        <x:f>IFERROR(VLOOKUP(D31,VirusDB!$A$2:$D$7,2,FALSE),"Không xác định")</x:f>
        <x:v>Trojan</x:v>
      </x:c>
      <x:c r="F31" t="str">
        <x:f>IFERROR(VLOOKUP(D31,VirusDB!$A$2:$D$7,3,FALSE),"Không xác định")</x:f>
        <x:v>Cao</x:v>
      </x:c>
      <x:c r="G31" t="str">
        <x:v>10.0.6.40</x:v>
      </x:c>
      <x:c r="H31" t="str">
        <x:v>Đã xử lý</x:v>
      </x:c>
    </x:row>
    <x:row r="32">
      <x:c r="A32" t="str">
        <x:v>A031</x:v>
      </x:c>
      <x:c r="B32" t="str">
        <x:v>2026-10-08 07:37</x:v>
      </x:c>
      <x:c r="C32" t="str">
        <x:v>MAL02</x:v>
      </x:c>
      <x:c r="D32" t="str">
        <x:f>TRIM(C32)</x:f>
        <x:v>MAL02</x:v>
      </x:c>
      <x:c r="E32" t="str">
        <x:f>IFERROR(VLOOKUP(D32,VirusDB!$A$2:$D$7,2,FALSE),"Không xác định")</x:f>
        <x:v>Ransomware</x:v>
      </x:c>
      <x:c r="F32" t="str">
        <x:f>IFERROR(VLOOKUP(D32,VirusDB!$A$2:$D$7,3,FALSE),"Không xác định")</x:f>
        <x:v>Nghiêm trọng</x:v>
      </x:c>
      <x:c r="G32" t="str">
        <x:v>10.0.7.41</x:v>
      </x:c>
      <x:c r="H32" t="str">
        <x:v>Mới</x:v>
      </x:c>
    </x:row>
    <x:row r="33">
      <x:c r="A33" t="str">
        <x:v>A032</x:v>
      </x:c>
      <x:c r="B33" t="str">
        <x:v>2026-10-09 08:44</x:v>
      </x:c>
      <x:c r="C33" t="str">
        <x:v>MAL03</x:v>
      </x:c>
      <x:c r="D33" t="str">
        <x:f>TRIM(C33)</x:f>
        <x:v>MAL03</x:v>
      </x:c>
      <x:c r="E33" t="str">
        <x:f>IFERROR(VLOOKUP(D33,VirusDB!$A$2:$D$7,2,FALSE),"Không xác định")</x:f>
        <x:v>Spyware</x:v>
      </x:c>
      <x:c r="F33" t="str">
        <x:f>IFERROR(VLOOKUP(D33,VirusDB!$A$2:$D$7,3,FALSE),"Không xác định")</x:f>
        <x:v>Trung bình</x:v>
      </x:c>
      <x:c r="G33" t="str">
        <x:v>10.0.8.42</x:v>
      </x:c>
      <x:c r="H33" t="str">
        <x:v>Mới</x:v>
      </x:c>
    </x:row>
    <x:row r="34">
      <x:c r="A34" t="str">
        <x:v>A033</x:v>
      </x:c>
      <x:c r="B34" t="str">
        <x:v>2026-10-10 09:51</x:v>
      </x:c>
      <x:c r="C34" t="str">
        <x:v>MAL04 </x:v>
      </x:c>
      <x:c r="D34" t="str">
        <x:f>TRIM(C34)</x:f>
        <x:v>MAL04</x:v>
      </x:c>
      <x:c r="E34" t="str">
        <x:f>IFERROR(VLOOKUP(D34,VirusDB!$A$2:$D$7,2,FALSE),"Không xác định")</x:f>
        <x:v>Worm</x:v>
      </x:c>
      <x:c r="F34" t="str">
        <x:f>IFERROR(VLOOKUP(D34,VirusDB!$A$2:$D$7,3,FALSE),"Không xác định")</x:f>
        <x:v>Cao</x:v>
      </x:c>
      <x:c r="G34" t="str">
        <x:v>10.0.9.43</x:v>
      </x:c>
      <x:c r="H34" t="str">
        <x:v>Đã xử lý</x:v>
      </x:c>
    </x:row>
    <x:row r="35">
      <x:c r="A35" t="str">
        <x:v>A034</x:v>
      </x:c>
      <x:c r="B35" t="str">
        <x:v>2026-10-11 10:58</x:v>
      </x:c>
      <x:c r="C35" t="str">
        <x:v>MAL05</x:v>
      </x:c>
      <x:c r="D35" t="str">
        <x:f>TRIM(C35)</x:f>
        <x:v>MAL05</x:v>
      </x:c>
      <x:c r="E35" t="str">
        <x:f>IFERROR(VLOOKUP(D35,VirusDB!$A$2:$D$7,2,FALSE),"Không xác định")</x:f>
        <x:v>Adware</x:v>
      </x:c>
      <x:c r="F35" t="str">
        <x:f>IFERROR(VLOOKUP(D35,VirusDB!$A$2:$D$7,3,FALSE),"Không xác định")</x:f>
        <x:v>Thấp</x:v>
      </x:c>
      <x:c r="G35" t="str">
        <x:v>10.0.10.44</x:v>
      </x:c>
      <x:c r="H35" t="str">
        <x:v>Mới</x:v>
      </x:c>
    </x:row>
    <x:row r="36">
      <x:c r="A36" t="str">
        <x:v>A035</x:v>
      </x:c>
      <x:c r="B36" t="str">
        <x:v>2026-10-12 11:05</x:v>
      </x:c>
      <x:c r="C36" t="str">
        <x:v>MAL06</x:v>
      </x:c>
      <x:c r="D36" t="str">
        <x:f>TRIM(C36)</x:f>
        <x:v>MAL06</x:v>
      </x:c>
      <x:c r="E36" t="str">
        <x:f>IFERROR(VLOOKUP(D36,VirusDB!$A$2:$D$7,2,FALSE),"Không xác định")</x:f>
        <x:v>Backdoor</x:v>
      </x:c>
      <x:c r="F36" t="str">
        <x:f>IFERROR(VLOOKUP(D36,VirusDB!$A$2:$D$7,3,FALSE),"Không xác định")</x:f>
        <x:v>Nghiêm trọng</x:v>
      </x:c>
      <x:c r="G36" t="str">
        <x:v>10.0.11.45</x:v>
      </x:c>
      <x:c r="H36" t="str">
        <x:v>Mới</x:v>
      </x:c>
    </x:row>
    <x:row r="37">
      <x:c r="A37" t="str">
        <x:v>A036</x:v>
      </x:c>
      <x:c r="B37" t="str">
        <x:v>2026-10-01 12:12</x:v>
      </x:c>
      <x:c r="C37" t="str">
        <x:v>MAL01</x:v>
      </x:c>
      <x:c r="D37" t="str">
        <x:f>TRIM(C37)</x:f>
        <x:v>MAL01</x:v>
      </x:c>
      <x:c r="E37" t="str">
        <x:f>IFERROR(VLOOKUP(D37,VirusDB!$A$2:$D$7,2,FALSE),"Không xác định")</x:f>
        <x:v>Trojan</x:v>
      </x:c>
      <x:c r="F37" t="str">
        <x:f>IFERROR(VLOOKUP(D37,VirusDB!$A$2:$D$7,3,FALSE),"Không xác định")</x:f>
        <x:v>Cao</x:v>
      </x:c>
      <x:c r="G37" t="str">
        <x:v>10.0.0.46</x:v>
      </x:c>
      <x:c r="H37" t="str">
        <x:v>Đã xử lý</x:v>
      </x:c>
    </x:row>
    <x:row r="38">
      <x:c r="A38" t="str">
        <x:v>A037</x:v>
      </x:c>
      <x:c r="B38" t="str">
        <x:v>2026-10-02 13:19</x:v>
      </x:c>
      <x:c r="C38" t="str">
        <x:v>MAL02</x:v>
      </x:c>
      <x:c r="D38" t="str">
        <x:f>TRIM(C38)</x:f>
        <x:v>MAL02</x:v>
      </x:c>
      <x:c r="E38" t="str">
        <x:f>IFERROR(VLOOKUP(D38,VirusDB!$A$2:$D$7,2,FALSE),"Không xác định")</x:f>
        <x:v>Ransomware</x:v>
      </x:c>
      <x:c r="F38" t="str">
        <x:f>IFERROR(VLOOKUP(D38,VirusDB!$A$2:$D$7,3,FALSE),"Không xác định")</x:f>
        <x:v>Nghiêm trọng</x:v>
      </x:c>
      <x:c r="G38" t="str">
        <x:v>10.0.1.47</x:v>
      </x:c>
      <x:c r="H38" t="str">
        <x:v>Mới</x:v>
      </x:c>
    </x:row>
    <x:row r="39">
      <x:c r="A39" t="str">
        <x:v>A038</x:v>
      </x:c>
      <x:c r="B39" t="str">
        <x:v>2026-10-03 14:26</x:v>
      </x:c>
      <x:c r="C39" t="str">
        <x:v>MAL03</x:v>
      </x:c>
      <x:c r="D39" t="str">
        <x:f>TRIM(C39)</x:f>
        <x:v>MAL03</x:v>
      </x:c>
      <x:c r="E39" t="str">
        <x:f>IFERROR(VLOOKUP(D39,VirusDB!$A$2:$D$7,2,FALSE),"Không xác định")</x:f>
        <x:v>Spyware</x:v>
      </x:c>
      <x:c r="F39" t="str">
        <x:f>IFERROR(VLOOKUP(D39,VirusDB!$A$2:$D$7,3,FALSE),"Không xác định")</x:f>
        <x:v>Trung bình</x:v>
      </x:c>
      <x:c r="G39" t="str">
        <x:v>10.0.2.48</x:v>
      </x:c>
      <x:c r="H39" t="str">
        <x:v>Mới</x:v>
      </x:c>
    </x:row>
    <x:row r="40">
      <x:c r="A40" t="str">
        <x:v>A039</x:v>
      </x:c>
      <x:c r="B40" t="str">
        <x:v>2026-10-04 15:33</x:v>
      </x:c>
      <x:c r="C40" t="str">
        <x:v>MAL04</x:v>
      </x:c>
      <x:c r="D40" t="str">
        <x:f>TRIM(C40)</x:f>
        <x:v>MAL04</x:v>
      </x:c>
      <x:c r="E40" t="str">
        <x:f>IFERROR(VLOOKUP(D40,VirusDB!$A$2:$D$7,2,FALSE),"Không xác định")</x:f>
        <x:v>Worm</x:v>
      </x:c>
      <x:c r="F40" t="str">
        <x:f>IFERROR(VLOOKUP(D40,VirusDB!$A$2:$D$7,3,FALSE),"Không xác định")</x:f>
        <x:v>Cao</x:v>
      </x:c>
      <x:c r="G40" t="str">
        <x:v>10.0.3.49</x:v>
      </x:c>
      <x:c r="H40" t="str">
        <x:v>Đã xử lý</x:v>
      </x:c>
    </x:row>
    <x:row r="41">
      <x:c r="A41" t="str">
        <x:v>A040</x:v>
      </x:c>
      <x:c r="B41" t="str">
        <x:v>2026-10-05 16:40</x:v>
      </x:c>
      <x:c r="C41" t="str">
        <x:v>MAL05</x:v>
      </x:c>
      <x:c r="D41" t="str">
        <x:f>TRIM(C41)</x:f>
        <x:v>MAL05</x:v>
      </x:c>
      <x:c r="E41" t="str">
        <x:f>IFERROR(VLOOKUP(D41,VirusDB!$A$2:$D$7,2,FALSE),"Không xác định")</x:f>
        <x:v>Adware</x:v>
      </x:c>
      <x:c r="F41" t="str">
        <x:f>IFERROR(VLOOKUP(D41,VirusDB!$A$2:$D$7,3,FALSE),"Không xác định")</x:f>
        <x:v>Thấp</x:v>
      </x:c>
      <x:c r="G41" t="str">
        <x:v>10.0.4.50</x:v>
      </x:c>
      <x:c r="H41" t="str">
        <x:v>Mới</x:v>
      </x:c>
    </x:row>
    <x:row r="42">
      <x:c r="A42" t="str">
        <x:v>A041</x:v>
      </x:c>
      <x:c r="B42" t="str">
        <x:v>2026-10-06 17:47</x:v>
      </x:c>
      <x:c r="C42" t="str">
        <x:v>MAL06</x:v>
      </x:c>
      <x:c r="D42" t="str">
        <x:f>TRIM(C42)</x:f>
        <x:v>MAL06</x:v>
      </x:c>
      <x:c r="E42" t="str">
        <x:f>IFERROR(VLOOKUP(D42,VirusDB!$A$2:$D$7,2,FALSE),"Không xác định")</x:f>
        <x:v>Backdoor</x:v>
      </x:c>
      <x:c r="F42" t="str">
        <x:f>IFERROR(VLOOKUP(D42,VirusDB!$A$2:$D$7,3,FALSE),"Không xác định")</x:f>
        <x:v>Nghiêm trọng</x:v>
      </x:c>
      <x:c r="G42" t="str">
        <x:v>10.0.5.51</x:v>
      </x:c>
      <x:c r="H42" t="str">
        <x:v>Mới</x:v>
      </x:c>
    </x:row>
    <x:row r="43">
      <x:c r="A43" t="str">
        <x:v>A042</x:v>
      </x:c>
      <x:c r="B43" t="str">
        <x:v>2026-10-07 18:54</x:v>
      </x:c>
      <x:c r="C43" t="str">
        <x:v>MAL01</x:v>
      </x:c>
      <x:c r="D43" t="str">
        <x:f>TRIM(C43)</x:f>
        <x:v>MAL01</x:v>
      </x:c>
      <x:c r="E43" t="str">
        <x:f>IFERROR(VLOOKUP(D43,VirusDB!$A$2:$D$7,2,FALSE),"Không xác định")</x:f>
        <x:v>Trojan</x:v>
      </x:c>
      <x:c r="F43" t="str">
        <x:f>IFERROR(VLOOKUP(D43,VirusDB!$A$2:$D$7,3,FALSE),"Không xác định")</x:f>
        <x:v>Cao</x:v>
      </x:c>
      <x:c r="G43" t="str">
        <x:v>10.0.6.52</x:v>
      </x:c>
      <x:c r="H43" t="str">
        <x:v>Đã xử lý</x:v>
      </x:c>
    </x:row>
    <x:row r="44">
      <x:c r="A44" t="str">
        <x:v>A043</x:v>
      </x:c>
      <x:c r="B44" t="str">
        <x:v>2026-10-08 19:01</x:v>
      </x:c>
      <x:c r="C44" t="str">
        <x:v>MAL02</x:v>
      </x:c>
      <x:c r="D44" t="str">
        <x:f>TRIM(C44)</x:f>
        <x:v>MAL02</x:v>
      </x:c>
      <x:c r="E44" t="str">
        <x:f>IFERROR(VLOOKUP(D44,VirusDB!$A$2:$D$7,2,FALSE),"Không xác định")</x:f>
        <x:v>Ransomware</x:v>
      </x:c>
      <x:c r="F44" t="str">
        <x:f>IFERROR(VLOOKUP(D44,VirusDB!$A$2:$D$7,3,FALSE),"Không xác định")</x:f>
        <x:v>Nghiêm trọng</x:v>
      </x:c>
      <x:c r="G44" t="str">
        <x:v>10.0.7.53</x:v>
      </x:c>
      <x:c r="H44" t="str">
        <x:v>Mới</x:v>
      </x:c>
    </x:row>
    <x:row r="45">
      <x:c r="A45" t="str">
        <x:v>A044</x:v>
      </x:c>
      <x:c r="B45" t="str">
        <x:v>2026-10-09 20:08</x:v>
      </x:c>
      <x:c r="C45" t="str">
        <x:v>MAL03 </x:v>
      </x:c>
      <x:c r="D45" t="str">
        <x:f>TRIM(C45)</x:f>
        <x:v>MAL03</x:v>
      </x:c>
      <x:c r="E45" t="str">
        <x:f>IFERROR(VLOOKUP(D45,VirusDB!$A$2:$D$7,2,FALSE),"Không xác định")</x:f>
        <x:v>Spyware</x:v>
      </x:c>
      <x:c r="F45" t="str">
        <x:f>IFERROR(VLOOKUP(D45,VirusDB!$A$2:$D$7,3,FALSE),"Không xác định")</x:f>
        <x:v>Trung bình</x:v>
      </x:c>
      <x:c r="G45" t="str">
        <x:v>10.0.8.54</x:v>
      </x:c>
      <x:c r="H45" t="str">
        <x:v>Mới</x:v>
      </x:c>
    </x:row>
    <x:row r="46">
      <x:c r="A46" t="str">
        <x:v>A045</x:v>
      </x:c>
      <x:c r="B46" t="str">
        <x:v>2026-10-10 21:15</x:v>
      </x:c>
      <x:c r="C46" t="str">
        <x:v>MAL04</x:v>
      </x:c>
      <x:c r="D46" t="str">
        <x:f>TRIM(C46)</x:f>
        <x:v>MAL04</x:v>
      </x:c>
      <x:c r="E46" t="str">
        <x:f>IFERROR(VLOOKUP(D46,VirusDB!$A$2:$D$7,2,FALSE),"Không xác định")</x:f>
        <x:v>Worm</x:v>
      </x:c>
      <x:c r="F46" t="str">
        <x:f>IFERROR(VLOOKUP(D46,VirusDB!$A$2:$D$7,3,FALSE),"Không xác định")</x:f>
        <x:v>Cao</x:v>
      </x:c>
      <x:c r="G46" t="str">
        <x:v>10.0.9.55</x:v>
      </x:c>
      <x:c r="H46" t="str">
        <x:v>Đã xử lý</x:v>
      </x:c>
    </x:row>
    <x:row r="47">
      <x:c r="A47" t="str">
        <x:v>A046</x:v>
      </x:c>
      <x:c r="B47" t="str">
        <x:v>2026-10-11 22:22</x:v>
      </x:c>
      <x:c r="C47" t="str">
        <x:v>MAL05</x:v>
      </x:c>
      <x:c r="D47" t="str">
        <x:f>TRIM(C47)</x:f>
        <x:v>MAL05</x:v>
      </x:c>
      <x:c r="E47" t="str">
        <x:f>IFERROR(VLOOKUP(D47,VirusDB!$A$2:$D$7,2,FALSE),"Không xác định")</x:f>
        <x:v>Adware</x:v>
      </x:c>
      <x:c r="F47" t="str">
        <x:f>IFERROR(VLOOKUP(D47,VirusDB!$A$2:$D$7,3,FALSE),"Không xác định")</x:f>
        <x:v>Thấp</x:v>
      </x:c>
      <x:c r="G47" t="str">
        <x:v>10.0.10.56</x:v>
      </x:c>
      <x:c r="H47" t="str">
        <x:v>Mới</x:v>
      </x:c>
    </x:row>
    <x:row r="48">
      <x:c r="A48" t="str">
        <x:v>A047</x:v>
      </x:c>
      <x:c r="B48" t="str">
        <x:v>2026-10-12 23:29</x:v>
      </x:c>
      <x:c r="C48" t="str">
        <x:v>MAL06</x:v>
      </x:c>
      <x:c r="D48" t="str">
        <x:f>TRIM(C48)</x:f>
        <x:v>MAL06</x:v>
      </x:c>
      <x:c r="E48" t="str">
        <x:f>IFERROR(VLOOKUP(D48,VirusDB!$A$2:$D$7,2,FALSE),"Không xác định")</x:f>
        <x:v>Backdoor</x:v>
      </x:c>
      <x:c r="F48" t="str">
        <x:f>IFERROR(VLOOKUP(D48,VirusDB!$A$2:$D$7,3,FALSE),"Không xác định")</x:f>
        <x:v>Nghiêm trọng</x:v>
      </x:c>
      <x:c r="G48" t="str">
        <x:v>10.0.11.57</x:v>
      </x:c>
      <x:c r="H48" t="str">
        <x:v>Mới</x:v>
      </x:c>
    </x:row>
    <x:row r="49">
      <x:c r="A49" t="str">
        <x:v>A048</x:v>
      </x:c>
      <x:c r="B49" t="str">
        <x:v>2026-10-01 00:36</x:v>
      </x:c>
      <x:c r="C49" t="str">
        <x:v>MAL01</x:v>
      </x:c>
      <x:c r="D49" t="str">
        <x:f>TRIM(C49)</x:f>
        <x:v>MAL01</x:v>
      </x:c>
      <x:c r="E49" t="str">
        <x:f>IFERROR(VLOOKUP(D49,VirusDB!$A$2:$D$7,2,FALSE),"Không xác định")</x:f>
        <x:v>Trojan</x:v>
      </x:c>
      <x:c r="F49" t="str">
        <x:f>IFERROR(VLOOKUP(D49,VirusDB!$A$2:$D$7,3,FALSE),"Không xác định")</x:f>
        <x:v>Cao</x:v>
      </x:c>
      <x:c r="G49" t="str">
        <x:v>10.0.0.58</x:v>
      </x:c>
      <x:c r="H49" t="str">
        <x:v>Đã xử lý</x:v>
      </x:c>
    </x:row>
    <x:row r="50">
      <x:c r="A50" t="str">
        <x:v>A049</x:v>
      </x:c>
      <x:c r="B50" t="str">
        <x:v>2026-10-02 01:43</x:v>
      </x:c>
      <x:c r="C50" t="str">
        <x:v>MAL02</x:v>
      </x:c>
      <x:c r="D50" t="str">
        <x:f>TRIM(C50)</x:f>
        <x:v>MAL02</x:v>
      </x:c>
      <x:c r="E50" t="str">
        <x:f>IFERROR(VLOOKUP(D50,VirusDB!$A$2:$D$7,2,FALSE),"Không xác định")</x:f>
        <x:v>Ransomware</x:v>
      </x:c>
      <x:c r="F50" t="str">
        <x:f>IFERROR(VLOOKUP(D50,VirusDB!$A$2:$D$7,3,FALSE),"Không xác định")</x:f>
        <x:v>Nghiêm trọng</x:v>
      </x:c>
      <x:c r="G50" t="str">
        <x:v>10.0.1.59</x:v>
      </x:c>
      <x:c r="H50" t="str">
        <x:v>Mới</x:v>
      </x:c>
    </x:row>
    <x:row r="51">
      <x:c r="A51" t="str">
        <x:v>A050</x:v>
      </x:c>
      <x:c r="B51" t="str">
        <x:v>2026-10-03 02:50</x:v>
      </x:c>
      <x:c r="C51" t="str">
        <x:v>MAL03</x:v>
      </x:c>
      <x:c r="D51" t="str">
        <x:f>TRIM(C51)</x:f>
        <x:v>MAL03</x:v>
      </x:c>
      <x:c r="E51" t="str">
        <x:f>IFERROR(VLOOKUP(D51,VirusDB!$A$2:$D$7,2,FALSE),"Không xác định")</x:f>
        <x:v>Spyware</x:v>
      </x:c>
      <x:c r="F51" t="str">
        <x:f>IFERROR(VLOOKUP(D51,VirusDB!$A$2:$D$7,3,FALSE),"Không xác định")</x:f>
        <x:v>Trung bình</x:v>
      </x:c>
      <x:c r="G51" t="str">
        <x:v>10.0.2.60</x:v>
      </x:c>
      <x:c r="H51" t="str">
        <x:v>Mới</x:v>
      </x:c>
    </x:row>
    <x:row r="52">
      <x:c r="A52" t="str">
        <x:v>A051</x:v>
      </x:c>
      <x:c r="B52" t="str">
        <x:v>2026-10-04 03:57</x:v>
      </x:c>
      <x:c r="C52" t="str">
        <x:v>MAL04</x:v>
      </x:c>
      <x:c r="D52" t="str">
        <x:f>TRIM(C52)</x:f>
        <x:v>MAL04</x:v>
      </x:c>
      <x:c r="E52" t="str">
        <x:f>IFERROR(VLOOKUP(D52,VirusDB!$A$2:$D$7,2,FALSE),"Không xác định")</x:f>
        <x:v>Worm</x:v>
      </x:c>
      <x:c r="F52" t="str">
        <x:f>IFERROR(VLOOKUP(D52,VirusDB!$A$2:$D$7,3,FALSE),"Không xác định")</x:f>
        <x:v>Cao</x:v>
      </x:c>
      <x:c r="G52" t="str">
        <x:v>10.0.3.61</x:v>
      </x:c>
      <x:c r="H52" t="str">
        <x:v>Đã xử lý</x:v>
      </x:c>
    </x:row>
    <x:row r="53">
      <x:c r="A53" t="str">
        <x:v>A052</x:v>
      </x:c>
      <x:c r="B53" t="str">
        <x:v>2026-10-05 04:04</x:v>
      </x:c>
      <x:c r="C53" t="str">
        <x:v>MAL05</x:v>
      </x:c>
      <x:c r="D53" t="str">
        <x:f>TRIM(C53)</x:f>
        <x:v>MAL05</x:v>
      </x:c>
      <x:c r="E53" t="str">
        <x:f>IFERROR(VLOOKUP(D53,VirusDB!$A$2:$D$7,2,FALSE),"Không xác định")</x:f>
        <x:v>Adware</x:v>
      </x:c>
      <x:c r="F53" t="str">
        <x:f>IFERROR(VLOOKUP(D53,VirusDB!$A$2:$D$7,3,FALSE),"Không xác định")</x:f>
        <x:v>Thấp</x:v>
      </x:c>
      <x:c r="G53" t="str">
        <x:v>10.0.4.62</x:v>
      </x:c>
      <x:c r="H53" t="str">
        <x:v>Mới</x:v>
      </x:c>
    </x:row>
    <x:row r="54">
      <x:c r="A54" t="str">
        <x:v>A053</x:v>
      </x:c>
      <x:c r="B54" t="str">
        <x:v>2026-10-06 05:11</x:v>
      </x:c>
      <x:c r="C54" t="str">
        <x:v>MAL06</x:v>
      </x:c>
      <x:c r="D54" t="str">
        <x:f>TRIM(C54)</x:f>
        <x:v>MAL06</x:v>
      </x:c>
      <x:c r="E54" t="str">
        <x:f>IFERROR(VLOOKUP(D54,VirusDB!$A$2:$D$7,2,FALSE),"Không xác định")</x:f>
        <x:v>Backdoor</x:v>
      </x:c>
      <x:c r="F54" t="str">
        <x:f>IFERROR(VLOOKUP(D54,VirusDB!$A$2:$D$7,3,FALSE),"Không xác định")</x:f>
        <x:v>Nghiêm trọng</x:v>
      </x:c>
      <x:c r="G54" t="str">
        <x:v>10.0.5.63</x:v>
      </x:c>
      <x:c r="H54" t="str">
        <x:v>Mới</x:v>
      </x:c>
    </x:row>
    <x:row r="55">
      <x:c r="A55" t="str">
        <x:v>A054</x:v>
      </x:c>
      <x:c r="B55" t="str">
        <x:v>2026-10-07 06:18</x:v>
      </x:c>
      <x:c r="C55" t="str">
        <x:v>MAL01</x:v>
      </x:c>
      <x:c r="D55" t="str">
        <x:f>TRIM(C55)</x:f>
        <x:v>MAL01</x:v>
      </x:c>
      <x:c r="E55" t="str">
        <x:f>IFERROR(VLOOKUP(D55,VirusDB!$A$2:$D$7,2,FALSE),"Không xác định")</x:f>
        <x:v>Trojan</x:v>
      </x:c>
      <x:c r="F55" t="str">
        <x:f>IFERROR(VLOOKUP(D55,VirusDB!$A$2:$D$7,3,FALSE),"Không xác định")</x:f>
        <x:v>Cao</x:v>
      </x:c>
      <x:c r="G55" t="str">
        <x:v>10.0.6.64</x:v>
      </x:c>
      <x:c r="H55" t="str">
        <x:v>Đã xử lý</x:v>
      </x:c>
    </x:row>
    <x:row r="56">
      <x:c r="A56" t="str">
        <x:v>A055</x:v>
      </x:c>
      <x:c r="B56" t="str">
        <x:v>2026-10-08 07:25</x:v>
      </x:c>
      <x:c r="C56" t="str">
        <x:v>MAL02 </x:v>
      </x:c>
      <x:c r="D56" t="str">
        <x:f>TRIM(C56)</x:f>
        <x:v>MAL02</x:v>
      </x:c>
      <x:c r="E56" t="str">
        <x:f>IFERROR(VLOOKUP(D56,VirusDB!$A$2:$D$7,2,FALSE),"Không xác định")</x:f>
        <x:v>Ransomware</x:v>
      </x:c>
      <x:c r="F56" t="str">
        <x:f>IFERROR(VLOOKUP(D56,VirusDB!$A$2:$D$7,3,FALSE),"Không xác định")</x:f>
        <x:v>Nghiêm trọng</x:v>
      </x:c>
      <x:c r="G56" t="str">
        <x:v>10.0.7.65</x:v>
      </x:c>
      <x:c r="H56" t="str">
        <x:v>Mới</x:v>
      </x:c>
    </x:row>
    <x:row r="57">
      <x:c r="A57" t="str">
        <x:v>A056</x:v>
      </x:c>
      <x:c r="B57" t="str">
        <x:v>2026-10-09 08:32</x:v>
      </x:c>
      <x:c r="C57" t="str">
        <x:v>MAL03</x:v>
      </x:c>
      <x:c r="D57" t="str">
        <x:f>TRIM(C57)</x:f>
        <x:v>MAL03</x:v>
      </x:c>
      <x:c r="E57" t="str">
        <x:f>IFERROR(VLOOKUP(D57,VirusDB!$A$2:$D$7,2,FALSE),"Không xác định")</x:f>
        <x:v>Spyware</x:v>
      </x:c>
      <x:c r="F57" t="str">
        <x:f>IFERROR(VLOOKUP(D57,VirusDB!$A$2:$D$7,3,FALSE),"Không xác định")</x:f>
        <x:v>Trung bình</x:v>
      </x:c>
      <x:c r="G57" t="str">
        <x:v>10.0.8.66</x:v>
      </x:c>
      <x:c r="H57" t="str">
        <x:v>Mới</x:v>
      </x:c>
    </x:row>
    <x:row r="58">
      <x:c r="A58" t="str">
        <x:v>A057</x:v>
      </x:c>
      <x:c r="B58" t="str">
        <x:v>2026-10-10 09:39</x:v>
      </x:c>
      <x:c r="C58" t="str">
        <x:v>MAL04</x:v>
      </x:c>
      <x:c r="D58" t="str">
        <x:f>TRIM(C58)</x:f>
        <x:v>MAL04</x:v>
      </x:c>
      <x:c r="E58" t="str">
        <x:f>IFERROR(VLOOKUP(D58,VirusDB!$A$2:$D$7,2,FALSE),"Không xác định")</x:f>
        <x:v>Worm</x:v>
      </x:c>
      <x:c r="F58" t="str">
        <x:f>IFERROR(VLOOKUP(D58,VirusDB!$A$2:$D$7,3,FALSE),"Không xác định")</x:f>
        <x:v>Cao</x:v>
      </x:c>
      <x:c r="G58" t="str">
        <x:v>10.0.9.67</x:v>
      </x:c>
      <x:c r="H58" t="str">
        <x:v>Đã xử lý</x:v>
      </x:c>
    </x:row>
    <x:row r="59">
      <x:c r="A59" t="str">
        <x:v>A058</x:v>
      </x:c>
      <x:c r="B59" t="str">
        <x:v>2026-10-11 10:46</x:v>
      </x:c>
      <x:c r="C59" t="str">
        <x:v>MAL05</x:v>
      </x:c>
      <x:c r="D59" t="str">
        <x:f>TRIM(C59)</x:f>
        <x:v>MAL05</x:v>
      </x:c>
      <x:c r="E59" t="str">
        <x:f>IFERROR(VLOOKUP(D59,VirusDB!$A$2:$D$7,2,FALSE),"Không xác định")</x:f>
        <x:v>Adware</x:v>
      </x:c>
      <x:c r="F59" t="str">
        <x:f>IFERROR(VLOOKUP(D59,VirusDB!$A$2:$D$7,3,FALSE),"Không xác định")</x:f>
        <x:v>Thấp</x:v>
      </x:c>
      <x:c r="G59" t="str">
        <x:v>10.0.10.68</x:v>
      </x:c>
      <x:c r="H59" t="str">
        <x:v>Mới</x:v>
      </x:c>
    </x:row>
    <x:row r="60">
      <x:c r="A60" t="str">
        <x:v>A059</x:v>
      </x:c>
      <x:c r="B60" t="str">
        <x:v>2026-10-12 11:53</x:v>
      </x:c>
      <x:c r="C60" t="str">
        <x:v>MAL06</x:v>
      </x:c>
      <x:c r="D60" t="str">
        <x:f>TRIM(C60)</x:f>
        <x:v>MAL06</x:v>
      </x:c>
      <x:c r="E60" t="str">
        <x:f>IFERROR(VLOOKUP(D60,VirusDB!$A$2:$D$7,2,FALSE),"Không xác định")</x:f>
        <x:v>Backdoor</x:v>
      </x:c>
      <x:c r="F60" t="str">
        <x:f>IFERROR(VLOOKUP(D60,VirusDB!$A$2:$D$7,3,FALSE),"Không xác định")</x:f>
        <x:v>Nghiêm trọng</x:v>
      </x:c>
      <x:c r="G60" t="str">
        <x:v>10.0.11.69</x:v>
      </x:c>
      <x:c r="H60" t="str">
        <x:v>Mới</x:v>
      </x:c>
    </x:row>
    <x:row r="61">
      <x:c r="A61" t="str">
        <x:v>A060</x:v>
      </x:c>
      <x:c r="B61" t="str">
        <x:v>2026-10-01 12:00</x:v>
      </x:c>
      <x:c r="C61" t="str">
        <x:v>MAL01</x:v>
      </x:c>
      <x:c r="D61" t="str">
        <x:f>TRIM(C61)</x:f>
        <x:v>MAL01</x:v>
      </x:c>
      <x:c r="E61" t="str">
        <x:f>IFERROR(VLOOKUP(D61,VirusDB!$A$2:$D$7,2,FALSE),"Không xác định")</x:f>
        <x:v>Trojan</x:v>
      </x:c>
      <x:c r="F61" t="str">
        <x:f>IFERROR(VLOOKUP(D61,VirusDB!$A$2:$D$7,3,FALSE),"Không xác định")</x:f>
        <x:v>Cao</x:v>
      </x:c>
      <x:c r="G61" t="str">
        <x:v>10.0.0.70</x:v>
      </x:c>
      <x:c r="H61" t="str">
        <x:v>Đã xử lý</x:v>
      </x:c>
    </x:row>
    <x:row r="62">
      <x:c r="A62" t="str">
        <x:v>A061</x:v>
      </x:c>
      <x:c r="B62" t="str">
        <x:v>2026-10-02 13:07</x:v>
      </x:c>
      <x:c r="C62" t="str">
        <x:v>MAL02</x:v>
      </x:c>
      <x:c r="D62" t="str">
        <x:f>TRIM(C62)</x:f>
        <x:v>MAL02</x:v>
      </x:c>
      <x:c r="E62" t="str">
        <x:f>IFERROR(VLOOKUP(D62,VirusDB!$A$2:$D$7,2,FALSE),"Không xác định")</x:f>
        <x:v>Ransomware</x:v>
      </x:c>
      <x:c r="F62" t="str">
        <x:f>IFERROR(VLOOKUP(D62,VirusDB!$A$2:$D$7,3,FALSE),"Không xác định")</x:f>
        <x:v>Nghiêm trọng</x:v>
      </x:c>
      <x:c r="G62" t="str">
        <x:v>10.0.1.71</x:v>
      </x:c>
      <x:c r="H62" t="str">
        <x:v>Mới</x:v>
      </x:c>
    </x:row>
    <x:row r="63">
      <x:c r="A63" t="str">
        <x:v>A062</x:v>
      </x:c>
      <x:c r="B63" t="str">
        <x:v>2026-10-03 14:14</x:v>
      </x:c>
      <x:c r="C63" t="str">
        <x:v>MAL03</x:v>
      </x:c>
      <x:c r="D63" t="str">
        <x:f>TRIM(C63)</x:f>
        <x:v>MAL03</x:v>
      </x:c>
      <x:c r="E63" t="str">
        <x:f>IFERROR(VLOOKUP(D63,VirusDB!$A$2:$D$7,2,FALSE),"Không xác định")</x:f>
        <x:v>Spyware</x:v>
      </x:c>
      <x:c r="F63" t="str">
        <x:f>IFERROR(VLOOKUP(D63,VirusDB!$A$2:$D$7,3,FALSE),"Không xác định")</x:f>
        <x:v>Trung bình</x:v>
      </x:c>
      <x:c r="G63" t="str">
        <x:v>10.0.2.72</x:v>
      </x:c>
      <x:c r="H63" t="str">
        <x:v>Mới</x:v>
      </x:c>
    </x:row>
    <x:row r="64">
      <x:c r="A64" t="str">
        <x:v>A063</x:v>
      </x:c>
      <x:c r="B64" t="str">
        <x:v>2026-10-04 15:21</x:v>
      </x:c>
      <x:c r="C64" t="str">
        <x:v>MAL04</x:v>
      </x:c>
      <x:c r="D64" t="str">
        <x:f>TRIM(C64)</x:f>
        <x:v>MAL04</x:v>
      </x:c>
      <x:c r="E64" t="str">
        <x:f>IFERROR(VLOOKUP(D64,VirusDB!$A$2:$D$7,2,FALSE),"Không xác định")</x:f>
        <x:v>Worm</x:v>
      </x:c>
      <x:c r="F64" t="str">
        <x:f>IFERROR(VLOOKUP(D64,VirusDB!$A$2:$D$7,3,FALSE),"Không xác định")</x:f>
        <x:v>Cao</x:v>
      </x:c>
      <x:c r="G64" t="str">
        <x:v>10.0.3.73</x:v>
      </x:c>
      <x:c r="H64" t="str">
        <x:v>Đã xử lý</x:v>
      </x:c>
    </x:row>
    <x:row r="65">
      <x:c r="A65" t="str">
        <x:v>A064</x:v>
      </x:c>
      <x:c r="B65" t="str">
        <x:v>2026-10-05 16:28</x:v>
      </x:c>
      <x:c r="C65" t="str">
        <x:v>MAL05</x:v>
      </x:c>
      <x:c r="D65" t="str">
        <x:f>TRIM(C65)</x:f>
        <x:v>MAL05</x:v>
      </x:c>
      <x:c r="E65" t="str">
        <x:f>IFERROR(VLOOKUP(D65,VirusDB!$A$2:$D$7,2,FALSE),"Không xác định")</x:f>
        <x:v>Adware</x:v>
      </x:c>
      <x:c r="F65" t="str">
        <x:f>IFERROR(VLOOKUP(D65,VirusDB!$A$2:$D$7,3,FALSE),"Không xác định")</x:f>
        <x:v>Thấp</x:v>
      </x:c>
      <x:c r="G65" t="str">
        <x:v>10.0.4.74</x:v>
      </x:c>
      <x:c r="H65" t="str">
        <x:v>Mới</x:v>
      </x:c>
    </x:row>
    <x:row r="66">
      <x:c r="A66" t="str">
        <x:v>A065</x:v>
      </x:c>
      <x:c r="B66" t="str">
        <x:v>2026-10-06 17:35</x:v>
      </x:c>
      <x:c r="C66" t="str">
        <x:v>MAL06</x:v>
      </x:c>
      <x:c r="D66" t="str">
        <x:f>TRIM(C66)</x:f>
        <x:v>MAL06</x:v>
      </x:c>
      <x:c r="E66" t="str">
        <x:f>IFERROR(VLOOKUP(D66,VirusDB!$A$2:$D$7,2,FALSE),"Không xác định")</x:f>
        <x:v>Backdoor</x:v>
      </x:c>
      <x:c r="F66" t="str">
        <x:f>IFERROR(VLOOKUP(D66,VirusDB!$A$2:$D$7,3,FALSE),"Không xác định")</x:f>
        <x:v>Nghiêm trọng</x:v>
      </x:c>
      <x:c r="G66" t="str">
        <x:v>10.0.5.75</x:v>
      </x:c>
      <x:c r="H66" t="str">
        <x:v>Mới</x:v>
      </x:c>
    </x:row>
    <x:row r="67">
      <x:c r="A67" t="str">
        <x:v>A066</x:v>
      </x:c>
      <x:c r="B67" t="str">
        <x:v>2026-10-07 18:42</x:v>
      </x:c>
      <x:c r="C67" t="str">
        <x:v>MAL01 </x:v>
      </x:c>
      <x:c r="D67" t="str">
        <x:f>TRIM(C67)</x:f>
        <x:v>MAL01</x:v>
      </x:c>
      <x:c r="E67" t="str">
        <x:f>IFERROR(VLOOKUP(D67,VirusDB!$A$2:$D$7,2,FALSE),"Không xác định")</x:f>
        <x:v>Trojan</x:v>
      </x:c>
      <x:c r="F67" t="str">
        <x:f>IFERROR(VLOOKUP(D67,VirusDB!$A$2:$D$7,3,FALSE),"Không xác định")</x:f>
        <x:v>Cao</x:v>
      </x:c>
      <x:c r="G67" t="str">
        <x:v>10.0.6.76</x:v>
      </x:c>
      <x:c r="H67" t="str">
        <x:v>Đã xử lý</x:v>
      </x:c>
    </x:row>
    <x:row r="68">
      <x:c r="A68" t="str">
        <x:v>A067</x:v>
      </x:c>
      <x:c r="B68" t="str">
        <x:v>2026-10-08 19:49</x:v>
      </x:c>
      <x:c r="C68" t="str">
        <x:v>MAL02</x:v>
      </x:c>
      <x:c r="D68" t="str">
        <x:f>TRIM(C68)</x:f>
        <x:v>MAL02</x:v>
      </x:c>
      <x:c r="E68" t="str">
        <x:f>IFERROR(VLOOKUP(D68,VirusDB!$A$2:$D$7,2,FALSE),"Không xác định")</x:f>
        <x:v>Ransomware</x:v>
      </x:c>
      <x:c r="F68" t="str">
        <x:f>IFERROR(VLOOKUP(D68,VirusDB!$A$2:$D$7,3,FALSE),"Không xác định")</x:f>
        <x:v>Nghiêm trọng</x:v>
      </x:c>
      <x:c r="G68" t="str">
        <x:v>10.0.7.77</x:v>
      </x:c>
      <x:c r="H68" t="str">
        <x:v>Mới</x:v>
      </x:c>
    </x:row>
    <x:row r="69">
      <x:c r="A69" t="str">
        <x:v>A068</x:v>
      </x:c>
      <x:c r="B69" t="str">
        <x:v>2026-10-09 20:56</x:v>
      </x:c>
      <x:c r="C69" t="str">
        <x:v>MAL03</x:v>
      </x:c>
      <x:c r="D69" t="str">
        <x:f>TRIM(C69)</x:f>
        <x:v>MAL03</x:v>
      </x:c>
      <x:c r="E69" t="str">
        <x:f>IFERROR(VLOOKUP(D69,VirusDB!$A$2:$D$7,2,FALSE),"Không xác định")</x:f>
        <x:v>Spyware</x:v>
      </x:c>
      <x:c r="F69" t="str">
        <x:f>IFERROR(VLOOKUP(D69,VirusDB!$A$2:$D$7,3,FALSE),"Không xác định")</x:f>
        <x:v>Trung bình</x:v>
      </x:c>
      <x:c r="G69" t="str">
        <x:v>10.0.8.78</x:v>
      </x:c>
      <x:c r="H69" t="str">
        <x:v>Mới</x:v>
      </x:c>
    </x:row>
    <x:row r="70">
      <x:c r="A70" t="str">
        <x:v>A069</x:v>
      </x:c>
      <x:c r="B70" t="str">
        <x:v>2026-10-10 21:03</x:v>
      </x:c>
      <x:c r="C70" t="str">
        <x:v>MAL04</x:v>
      </x:c>
      <x:c r="D70" t="str">
        <x:f>TRIM(C70)</x:f>
        <x:v>MAL04</x:v>
      </x:c>
      <x:c r="E70" t="str">
        <x:f>IFERROR(VLOOKUP(D70,VirusDB!$A$2:$D$7,2,FALSE),"Không xác định")</x:f>
        <x:v>Worm</x:v>
      </x:c>
      <x:c r="F70" t="str">
        <x:f>IFERROR(VLOOKUP(D70,VirusDB!$A$2:$D$7,3,FALSE),"Không xác định")</x:f>
        <x:v>Cao</x:v>
      </x:c>
      <x:c r="G70" t="str">
        <x:v>10.0.9.79</x:v>
      </x:c>
      <x:c r="H70" t="str">
        <x:v>Đã xử lý</x:v>
      </x:c>
    </x:row>
    <x:row r="71">
      <x:c r="A71" t="str">
        <x:v>A070</x:v>
      </x:c>
      <x:c r="B71" t="str">
        <x:v>2026-10-11 22:10</x:v>
      </x:c>
      <x:c r="C71" t="str">
        <x:v>MAL05</x:v>
      </x:c>
      <x:c r="D71" t="str">
        <x:f>TRIM(C71)</x:f>
        <x:v>MAL05</x:v>
      </x:c>
      <x:c r="E71" t="str">
        <x:f>IFERROR(VLOOKUP(D71,VirusDB!$A$2:$D$7,2,FALSE),"Không xác định")</x:f>
        <x:v>Adware</x:v>
      </x:c>
      <x:c r="F71" t="str">
        <x:f>IFERROR(VLOOKUP(D71,VirusDB!$A$2:$D$7,3,FALSE),"Không xác định")</x:f>
        <x:v>Thấp</x:v>
      </x:c>
      <x:c r="G71" t="str">
        <x:v>10.0.10.80</x:v>
      </x:c>
      <x:c r="H71" t="str">
        <x:v>Mới</x:v>
      </x:c>
    </x:row>
    <x:row r="72">
      <x:c r="A72" t="str">
        <x:v>A071</x:v>
      </x:c>
      <x:c r="B72" t="str">
        <x:v>2026-10-12 23:17</x:v>
      </x:c>
      <x:c r="C72" t="str">
        <x:v>MAL06</x:v>
      </x:c>
      <x:c r="D72" t="str">
        <x:f>TRIM(C72)</x:f>
        <x:v>MAL06</x:v>
      </x:c>
      <x:c r="E72" t="str">
        <x:f>IFERROR(VLOOKUP(D72,VirusDB!$A$2:$D$7,2,FALSE),"Không xác định")</x:f>
        <x:v>Backdoor</x:v>
      </x:c>
      <x:c r="F72" t="str">
        <x:f>IFERROR(VLOOKUP(D72,VirusDB!$A$2:$D$7,3,FALSE),"Không xác định")</x:f>
        <x:v>Nghiêm trọng</x:v>
      </x:c>
      <x:c r="G72" t="str">
        <x:v>10.0.11.81</x:v>
      </x:c>
      <x:c r="H72" t="str">
        <x:v>Mới</x:v>
      </x:c>
    </x:row>
    <x:row r="73">
      <x:c r="A73" t="str">
        <x:v>A072</x:v>
      </x:c>
      <x:c r="B73" t="str">
        <x:v>2026-10-01 00:24</x:v>
      </x:c>
      <x:c r="C73" t="str">
        <x:v>MAL01</x:v>
      </x:c>
      <x:c r="D73" t="str">
        <x:f>TRIM(C73)</x:f>
        <x:v>MAL01</x:v>
      </x:c>
      <x:c r="E73" t="str">
        <x:f>IFERROR(VLOOKUP(D73,VirusDB!$A$2:$D$7,2,FALSE),"Không xác định")</x:f>
        <x:v>Trojan</x:v>
      </x:c>
      <x:c r="F73" t="str">
        <x:f>IFERROR(VLOOKUP(D73,VirusDB!$A$2:$D$7,3,FALSE),"Không xác định")</x:f>
        <x:v>Cao</x:v>
      </x:c>
      <x:c r="G73" t="str">
        <x:v>10.0.0.82</x:v>
      </x:c>
      <x:c r="H73" t="str">
        <x:v>Đã xử lý</x:v>
      </x:c>
    </x:row>
    <x:row r="74">
      <x:c r="A74" t="str">
        <x:v>A073</x:v>
      </x:c>
      <x:c r="B74" t="str">
        <x:v>2026-10-02 01:31</x:v>
      </x:c>
      <x:c r="C74" t="str">
        <x:v>MAL02</x:v>
      </x:c>
      <x:c r="D74" t="str">
        <x:f>TRIM(C74)</x:f>
        <x:v>MAL02</x:v>
      </x:c>
      <x:c r="E74" t="str">
        <x:f>IFERROR(VLOOKUP(D74,VirusDB!$A$2:$D$7,2,FALSE),"Không xác định")</x:f>
        <x:v>Ransomware</x:v>
      </x:c>
      <x:c r="F74" t="str">
        <x:f>IFERROR(VLOOKUP(D74,VirusDB!$A$2:$D$7,3,FALSE),"Không xác định")</x:f>
        <x:v>Nghiêm trọng</x:v>
      </x:c>
      <x:c r="G74" t="str">
        <x:v>10.0.1.83</x:v>
      </x:c>
      <x:c r="H74" t="str">
        <x:v>Mới</x:v>
      </x:c>
    </x:row>
    <x:row r="75">
      <x:c r="A75" t="str">
        <x:v>A074</x:v>
      </x:c>
      <x:c r="B75" t="str">
        <x:v>2026-10-03 02:38</x:v>
      </x:c>
      <x:c r="C75" t="str">
        <x:v>MAL03</x:v>
      </x:c>
      <x:c r="D75" t="str">
        <x:f>TRIM(C75)</x:f>
        <x:v>MAL03</x:v>
      </x:c>
      <x:c r="E75" t="str">
        <x:f>IFERROR(VLOOKUP(D75,VirusDB!$A$2:$D$7,2,FALSE),"Không xác định")</x:f>
        <x:v>Spyware</x:v>
      </x:c>
      <x:c r="F75" t="str">
        <x:f>IFERROR(VLOOKUP(D75,VirusDB!$A$2:$D$7,3,FALSE),"Không xác định")</x:f>
        <x:v>Trung bình</x:v>
      </x:c>
      <x:c r="G75" t="str">
        <x:v>10.0.2.84</x:v>
      </x:c>
      <x:c r="H75" t="str">
        <x:v>Mới</x:v>
      </x:c>
    </x:row>
    <x:row r="76">
      <x:c r="A76" t="str">
        <x:v>A075</x:v>
      </x:c>
      <x:c r="B76" t="str">
        <x:v>2026-10-04 03:45</x:v>
      </x:c>
      <x:c r="C76" t="str">
        <x:v>MAL04</x:v>
      </x:c>
      <x:c r="D76" t="str">
        <x:f>TRIM(C76)</x:f>
        <x:v>MAL04</x:v>
      </x:c>
      <x:c r="E76" t="str">
        <x:f>IFERROR(VLOOKUP(D76,VirusDB!$A$2:$D$7,2,FALSE),"Không xác định")</x:f>
        <x:v>Worm</x:v>
      </x:c>
      <x:c r="F76" t="str">
        <x:f>IFERROR(VLOOKUP(D76,VirusDB!$A$2:$D$7,3,FALSE),"Không xác định")</x:f>
        <x:v>Cao</x:v>
      </x:c>
      <x:c r="G76" t="str">
        <x:v>10.0.3.85</x:v>
      </x:c>
      <x:c r="H76" t="str">
        <x:v>Đã xử lý</x:v>
      </x:c>
    </x:row>
    <x:row r="77">
      <x:c r="A77" t="str">
        <x:v>A076</x:v>
      </x:c>
      <x:c r="B77" t="str">
        <x:v>2026-10-05 04:52</x:v>
      </x:c>
      <x:c r="C77" t="str">
        <x:v>MAL05</x:v>
      </x:c>
      <x:c r="D77" t="str">
        <x:f>TRIM(C77)</x:f>
        <x:v>MAL05</x:v>
      </x:c>
      <x:c r="E77" t="str">
        <x:f>IFERROR(VLOOKUP(D77,VirusDB!$A$2:$D$7,2,FALSE),"Không xác định")</x:f>
        <x:v>Adware</x:v>
      </x:c>
      <x:c r="F77" t="str">
        <x:f>IFERROR(VLOOKUP(D77,VirusDB!$A$2:$D$7,3,FALSE),"Không xác định")</x:f>
        <x:v>Thấp</x:v>
      </x:c>
      <x:c r="G77" t="str">
        <x:v>10.0.4.86</x:v>
      </x:c>
      <x:c r="H77" t="str">
        <x:v>Mới</x:v>
      </x:c>
    </x:row>
    <x:row r="78">
      <x:c r="A78" t="str">
        <x:v>A077</x:v>
      </x:c>
      <x:c r="B78" t="str">
        <x:v>2026-10-06 05:59</x:v>
      </x:c>
      <x:c r="C78" t="str">
        <x:v>MAL06 </x:v>
      </x:c>
      <x:c r="D78" t="str">
        <x:f>TRIM(C78)</x:f>
        <x:v>MAL06</x:v>
      </x:c>
      <x:c r="E78" t="str">
        <x:f>IFERROR(VLOOKUP(D78,VirusDB!$A$2:$D$7,2,FALSE),"Không xác định")</x:f>
        <x:v>Backdoor</x:v>
      </x:c>
      <x:c r="F78" t="str">
        <x:f>IFERROR(VLOOKUP(D78,VirusDB!$A$2:$D$7,3,FALSE),"Không xác định")</x:f>
        <x:v>Nghiêm trọng</x:v>
      </x:c>
      <x:c r="G78" t="str">
        <x:v>10.0.5.87</x:v>
      </x:c>
      <x:c r="H78" t="str">
        <x:v>Mới</x:v>
      </x:c>
    </x:row>
    <x:row r="79">
      <x:c r="A79" t="str">
        <x:v>A078</x:v>
      </x:c>
      <x:c r="B79" t="str">
        <x:v>2026-10-07 06:06</x:v>
      </x:c>
      <x:c r="C79" t="str">
        <x:v>MAL01</x:v>
      </x:c>
      <x:c r="D79" t="str">
        <x:f>TRIM(C79)</x:f>
        <x:v>MAL01</x:v>
      </x:c>
      <x:c r="E79" t="str">
        <x:f>IFERROR(VLOOKUP(D79,VirusDB!$A$2:$D$7,2,FALSE),"Không xác định")</x:f>
        <x:v>Trojan</x:v>
      </x:c>
      <x:c r="F79" t="str">
        <x:f>IFERROR(VLOOKUP(D79,VirusDB!$A$2:$D$7,3,FALSE),"Không xác định")</x:f>
        <x:v>Cao</x:v>
      </x:c>
      <x:c r="G79" t="str">
        <x:v>10.0.6.88</x:v>
      </x:c>
      <x:c r="H79" t="str">
        <x:v>Đã xử lý</x:v>
      </x:c>
    </x:row>
    <x:row r="80">
      <x:c r="A80" t="str">
        <x:v>A079</x:v>
      </x:c>
      <x:c r="B80" t="str">
        <x:v>2026-10-08 07:13</x:v>
      </x:c>
      <x:c r="C80" t="str">
        <x:v>MAL02</x:v>
      </x:c>
      <x:c r="D80" t="str">
        <x:f>TRIM(C80)</x:f>
        <x:v>MAL02</x:v>
      </x:c>
      <x:c r="E80" t="str">
        <x:f>IFERROR(VLOOKUP(D80,VirusDB!$A$2:$D$7,2,FALSE),"Không xác định")</x:f>
        <x:v>Ransomware</x:v>
      </x:c>
      <x:c r="F80" t="str">
        <x:f>IFERROR(VLOOKUP(D80,VirusDB!$A$2:$D$7,3,FALSE),"Không xác định")</x:f>
        <x:v>Nghiêm trọng</x:v>
      </x:c>
      <x:c r="G80" t="str">
        <x:v>10.0.7.89</x:v>
      </x:c>
      <x:c r="H80" t="str">
        <x:v>Mới</x:v>
      </x:c>
    </x:row>
    <x:row r="81">
      <x:c r="A81" t="str">
        <x:v>A080</x:v>
      </x:c>
      <x:c r="B81" t="str">
        <x:v>2026-10-09 08:20</x:v>
      </x:c>
      <x:c r="C81" t="str">
        <x:v>MAL03</x:v>
      </x:c>
      <x:c r="D81" t="str">
        <x:f>TRIM(C81)</x:f>
        <x:v>MAL03</x:v>
      </x:c>
      <x:c r="E81" t="str">
        <x:f>IFERROR(VLOOKUP(D81,VirusDB!$A$2:$D$7,2,FALSE),"Không xác định")</x:f>
        <x:v>Spyware</x:v>
      </x:c>
      <x:c r="F81" t="str">
        <x:f>IFERROR(VLOOKUP(D81,VirusDB!$A$2:$D$7,3,FALSE),"Không xác định")</x:f>
        <x:v>Trung bình</x:v>
      </x:c>
      <x:c r="G81" t="str">
        <x:v>10.0.8.90</x:v>
      </x:c>
      <x:c r="H81" t="str">
        <x:v>Mới</x:v>
      </x:c>
    </x:row>
    <x:row r="82">
      <x:c r="A82" t="str">
        <x:v>A081</x:v>
      </x:c>
      <x:c r="B82" t="str">
        <x:v>2026-10-10 09:27</x:v>
      </x:c>
      <x:c r="C82" t="str">
        <x:v>MAL04</x:v>
      </x:c>
      <x:c r="D82" t="str">
        <x:f>TRIM(C82)</x:f>
        <x:v>MAL04</x:v>
      </x:c>
      <x:c r="E82" t="str">
        <x:f>IFERROR(VLOOKUP(D82,VirusDB!$A$2:$D$7,2,FALSE),"Không xác định")</x:f>
        <x:v>Worm</x:v>
      </x:c>
      <x:c r="F82" t="str">
        <x:f>IFERROR(VLOOKUP(D82,VirusDB!$A$2:$D$7,3,FALSE),"Không xác định")</x:f>
        <x:v>Cao</x:v>
      </x:c>
      <x:c r="G82" t="str">
        <x:v>10.0.9.91</x:v>
      </x:c>
      <x:c r="H82" t="str">
        <x:v>Đã xử lý</x:v>
      </x:c>
    </x:row>
    <x:row r="83">
      <x:c r="A83" t="str">
        <x:v>A082</x:v>
      </x:c>
      <x:c r="B83" t="str">
        <x:v>2026-10-11 10:34</x:v>
      </x:c>
      <x:c r="C83" t="str">
        <x:v>MAL05</x:v>
      </x:c>
      <x:c r="D83" t="str">
        <x:f>TRIM(C83)</x:f>
        <x:v>MAL05</x:v>
      </x:c>
      <x:c r="E83" t="str">
        <x:f>IFERROR(VLOOKUP(D83,VirusDB!$A$2:$D$7,2,FALSE),"Không xác định")</x:f>
        <x:v>Adware</x:v>
      </x:c>
      <x:c r="F83" t="str">
        <x:f>IFERROR(VLOOKUP(D83,VirusDB!$A$2:$D$7,3,FALSE),"Không xác định")</x:f>
        <x:v>Thấp</x:v>
      </x:c>
      <x:c r="G83" t="str">
        <x:v>10.0.10.92</x:v>
      </x:c>
      <x:c r="H83" t="str">
        <x:v>Mới</x:v>
      </x:c>
    </x:row>
    <x:row r="84">
      <x:c r="A84" t="str">
        <x:v>A083</x:v>
      </x:c>
      <x:c r="B84" t="str">
        <x:v>2026-10-12 11:41</x:v>
      </x:c>
      <x:c r="C84" t="str">
        <x:v>MAL06</x:v>
      </x:c>
      <x:c r="D84" t="str">
        <x:f>TRIM(C84)</x:f>
        <x:v>MAL06</x:v>
      </x:c>
      <x:c r="E84" t="str">
        <x:f>IFERROR(VLOOKUP(D84,VirusDB!$A$2:$D$7,2,FALSE),"Không xác định")</x:f>
        <x:v>Backdoor</x:v>
      </x:c>
      <x:c r="F84" t="str">
        <x:f>IFERROR(VLOOKUP(D84,VirusDB!$A$2:$D$7,3,FALSE),"Không xác định")</x:f>
        <x:v>Nghiêm trọng</x:v>
      </x:c>
      <x:c r="G84" t="str">
        <x:v>10.0.11.93</x:v>
      </x:c>
      <x:c r="H84" t="str">
        <x:v>Mới</x:v>
      </x:c>
    </x:row>
    <x:row r="85">
      <x:c r="A85" t="str">
        <x:v>A084</x:v>
      </x:c>
      <x:c r="B85" t="str">
        <x:v>2026-10-01 12:48</x:v>
      </x:c>
      <x:c r="C85" t="str">
        <x:v>MAL01</x:v>
      </x:c>
      <x:c r="D85" t="str">
        <x:f>TRIM(C85)</x:f>
        <x:v>MAL01</x:v>
      </x:c>
      <x:c r="E85" t="str">
        <x:f>IFERROR(VLOOKUP(D85,VirusDB!$A$2:$D$7,2,FALSE),"Không xác định")</x:f>
        <x:v>Trojan</x:v>
      </x:c>
      <x:c r="F85" t="str">
        <x:f>IFERROR(VLOOKUP(D85,VirusDB!$A$2:$D$7,3,FALSE),"Không xác định")</x:f>
        <x:v>Cao</x:v>
      </x:c>
      <x:c r="G85" t="str">
        <x:v>10.0.0.94</x:v>
      </x:c>
      <x:c r="H85" t="str">
        <x:v>Đã xử lý</x:v>
      </x:c>
    </x:row>
    <x:row r="86">
      <x:c r="A86" t="str">
        <x:v>A085</x:v>
      </x:c>
      <x:c r="B86" t="str">
        <x:v>2026-10-02 13:55</x:v>
      </x:c>
      <x:c r="C86" t="str">
        <x:v>MAL02</x:v>
      </x:c>
      <x:c r="D86" t="str">
        <x:f>TRIM(C86)</x:f>
        <x:v>MAL02</x:v>
      </x:c>
      <x:c r="E86" t="str">
        <x:f>IFERROR(VLOOKUP(D86,VirusDB!$A$2:$D$7,2,FALSE),"Không xác định")</x:f>
        <x:v>Ransomware</x:v>
      </x:c>
      <x:c r="F86" t="str">
        <x:f>IFERROR(VLOOKUP(D86,VirusDB!$A$2:$D$7,3,FALSE),"Không xác định")</x:f>
        <x:v>Nghiêm trọng</x:v>
      </x:c>
      <x:c r="G86" t="str">
        <x:v>10.0.1.95</x:v>
      </x:c>
      <x:c r="H86" t="str">
        <x:v>Mới</x:v>
      </x:c>
    </x:row>
    <x:row r="87">
      <x:c r="A87" t="str">
        <x:v>A086</x:v>
      </x:c>
      <x:c r="B87" t="str">
        <x:v>2026-10-03 14:02</x:v>
      </x:c>
      <x:c r="C87" t="str">
        <x:v>MAL03</x:v>
      </x:c>
      <x:c r="D87" t="str">
        <x:f>TRIM(C87)</x:f>
        <x:v>MAL03</x:v>
      </x:c>
      <x:c r="E87" t="str">
        <x:f>IFERROR(VLOOKUP(D87,VirusDB!$A$2:$D$7,2,FALSE),"Không xác định")</x:f>
        <x:v>Spyware</x:v>
      </x:c>
      <x:c r="F87" t="str">
        <x:f>IFERROR(VLOOKUP(D87,VirusDB!$A$2:$D$7,3,FALSE),"Không xác định")</x:f>
        <x:v>Trung bình</x:v>
      </x:c>
      <x:c r="G87" t="str">
        <x:v>10.0.2.96</x:v>
      </x:c>
      <x:c r="H87" t="str">
        <x:v>Mới</x:v>
      </x:c>
    </x:row>
    <x:row r="88">
      <x:c r="A88" t="str">
        <x:v>A087</x:v>
      </x:c>
      <x:c r="B88" t="str">
        <x:v>2026-10-04 15:09</x:v>
      </x:c>
      <x:c r="C88" t="str">
        <x:v>MAL04</x:v>
      </x:c>
      <x:c r="D88" t="str">
        <x:f>TRIM(C88)</x:f>
        <x:v>MAL04</x:v>
      </x:c>
      <x:c r="E88" t="str">
        <x:f>IFERROR(VLOOKUP(D88,VirusDB!$A$2:$D$7,2,FALSE),"Không xác định")</x:f>
        <x:v>Worm</x:v>
      </x:c>
      <x:c r="F88" t="str">
        <x:f>IFERROR(VLOOKUP(D88,VirusDB!$A$2:$D$7,3,FALSE),"Không xác định")</x:f>
        <x:v>Cao</x:v>
      </x:c>
      <x:c r="G88" t="str">
        <x:v>10.0.3.97</x:v>
      </x:c>
      <x:c r="H88" t="str">
        <x:v>Đã xử lý</x:v>
      </x:c>
    </x:row>
    <x:row r="89">
      <x:c r="A89" t="str">
        <x:v>A088</x:v>
      </x:c>
      <x:c r="B89" t="str">
        <x:v>2026-10-05 16:16</x:v>
      </x:c>
      <x:c r="C89" t="str">
        <x:v>MAL05 </x:v>
      </x:c>
      <x:c r="D89" t="str">
        <x:f>TRIM(C89)</x:f>
        <x:v>MAL05</x:v>
      </x:c>
      <x:c r="E89" t="str">
        <x:f>IFERROR(VLOOKUP(D89,VirusDB!$A$2:$D$7,2,FALSE),"Không xác định")</x:f>
        <x:v>Adware</x:v>
      </x:c>
      <x:c r="F89" t="str">
        <x:f>IFERROR(VLOOKUP(D89,VirusDB!$A$2:$D$7,3,FALSE),"Không xác định")</x:f>
        <x:v>Thấp</x:v>
      </x:c>
      <x:c r="G89" t="str">
        <x:v>10.0.4.98</x:v>
      </x:c>
      <x:c r="H89" t="str">
        <x:v>Mới</x:v>
      </x:c>
    </x:row>
    <x:row r="90">
      <x:c r="A90" t="str">
        <x:v>A089</x:v>
      </x:c>
      <x:c r="B90" t="str">
        <x:v>2026-10-06 17:23</x:v>
      </x:c>
      <x:c r="C90" t="str">
        <x:v>MAL06</x:v>
      </x:c>
      <x:c r="D90" t="str">
        <x:f>TRIM(C90)</x:f>
        <x:v>MAL06</x:v>
      </x:c>
      <x:c r="E90" t="str">
        <x:f>IFERROR(VLOOKUP(D90,VirusDB!$A$2:$D$7,2,FALSE),"Không xác định")</x:f>
        <x:v>Backdoor</x:v>
      </x:c>
      <x:c r="F90" t="str">
        <x:f>IFERROR(VLOOKUP(D90,VirusDB!$A$2:$D$7,3,FALSE),"Không xác định")</x:f>
        <x:v>Nghiêm trọng</x:v>
      </x:c>
      <x:c r="G90" t="str">
        <x:v>10.0.5.99</x:v>
      </x:c>
      <x:c r="H90" t="str">
        <x:v>Mới</x:v>
      </x:c>
    </x:row>
    <x:row r="91">
      <x:c r="A91" t="str">
        <x:v>A090</x:v>
      </x:c>
      <x:c r="B91" t="str">
        <x:v>2026-10-07 18:30</x:v>
      </x:c>
      <x:c r="C91" t="str">
        <x:v>MAL01</x:v>
      </x:c>
      <x:c r="D91" t="str">
        <x:f>TRIM(C91)</x:f>
        <x:v>MAL01</x:v>
      </x:c>
      <x:c r="E91" t="str">
        <x:f>IFERROR(VLOOKUP(D91,VirusDB!$A$2:$D$7,2,FALSE),"Không xác định")</x:f>
        <x:v>Trojan</x:v>
      </x:c>
      <x:c r="F91" t="str">
        <x:f>IFERROR(VLOOKUP(D91,VirusDB!$A$2:$D$7,3,FALSE),"Không xác định")</x:f>
        <x:v>Cao</x:v>
      </x:c>
      <x:c r="G91" t="str">
        <x:v>10.0.6.100</x:v>
      </x:c>
      <x:c r="H91" t="str">
        <x:v>Đã xử lý</x:v>
      </x:c>
    </x:row>
    <x:row r="92">
      <x:c r="A92" t="str">
        <x:v>A091</x:v>
      </x:c>
      <x:c r="B92" t="str">
        <x:v>2026-10-08 19:37</x:v>
      </x:c>
      <x:c r="C92" t="str">
        <x:v>MAL02</x:v>
      </x:c>
      <x:c r="D92" t="str">
        <x:f>TRIM(C92)</x:f>
        <x:v>MAL02</x:v>
      </x:c>
      <x:c r="E92" t="str">
        <x:f>IFERROR(VLOOKUP(D92,VirusDB!$A$2:$D$7,2,FALSE),"Không xác định")</x:f>
        <x:v>Ransomware</x:v>
      </x:c>
      <x:c r="F92" t="str">
        <x:f>IFERROR(VLOOKUP(D92,VirusDB!$A$2:$D$7,3,FALSE),"Không xác định")</x:f>
        <x:v>Nghiêm trọng</x:v>
      </x:c>
      <x:c r="G92" t="str">
        <x:v>10.0.7.101</x:v>
      </x:c>
      <x:c r="H92" t="str">
        <x:v>Mới</x:v>
      </x:c>
    </x:row>
    <x:row r="93">
      <x:c r="A93" t="str">
        <x:v>A092</x:v>
      </x:c>
      <x:c r="B93" t="str">
        <x:v>2026-10-09 20:44</x:v>
      </x:c>
      <x:c r="C93" t="str">
        <x:v>MAL03</x:v>
      </x:c>
      <x:c r="D93" t="str">
        <x:f>TRIM(C93)</x:f>
        <x:v>MAL03</x:v>
      </x:c>
      <x:c r="E93" t="str">
        <x:f>IFERROR(VLOOKUP(D93,VirusDB!$A$2:$D$7,2,FALSE),"Không xác định")</x:f>
        <x:v>Spyware</x:v>
      </x:c>
      <x:c r="F93" t="str">
        <x:f>IFERROR(VLOOKUP(D93,VirusDB!$A$2:$D$7,3,FALSE),"Không xác định")</x:f>
        <x:v>Trung bình</x:v>
      </x:c>
      <x:c r="G93" t="str">
        <x:v>10.0.8.102</x:v>
      </x:c>
      <x:c r="H93" t="str">
        <x:v>Mới</x:v>
      </x:c>
    </x:row>
    <x:row r="94">
      <x:c r="A94" t="str">
        <x:v>A093</x:v>
      </x:c>
      <x:c r="B94" t="str">
        <x:v>2026-10-10 21:51</x:v>
      </x:c>
      <x:c r="C94" t="str">
        <x:v>MAL04</x:v>
      </x:c>
      <x:c r="D94" t="str">
        <x:f>TRIM(C94)</x:f>
        <x:v>MAL04</x:v>
      </x:c>
      <x:c r="E94" t="str">
        <x:f>IFERROR(VLOOKUP(D94,VirusDB!$A$2:$D$7,2,FALSE),"Không xác định")</x:f>
        <x:v>Worm</x:v>
      </x:c>
      <x:c r="F94" t="str">
        <x:f>IFERROR(VLOOKUP(D94,VirusDB!$A$2:$D$7,3,FALSE),"Không xác định")</x:f>
        <x:v>Cao</x:v>
      </x:c>
      <x:c r="G94" t="str">
        <x:v>10.0.9.103</x:v>
      </x:c>
      <x:c r="H94" t="str">
        <x:v>Đã xử lý</x:v>
      </x:c>
    </x:row>
    <x:row r="95">
      <x:c r="A95" t="str">
        <x:v>A094</x:v>
      </x:c>
      <x:c r="B95" t="str">
        <x:v>2026-10-11 22:58</x:v>
      </x:c>
      <x:c r="C95" t="str">
        <x:v>MAL05</x:v>
      </x:c>
      <x:c r="D95" t="str">
        <x:f>TRIM(C95)</x:f>
        <x:v>MAL05</x:v>
      </x:c>
      <x:c r="E95" t="str">
        <x:f>IFERROR(VLOOKUP(D95,VirusDB!$A$2:$D$7,2,FALSE),"Không xác định")</x:f>
        <x:v>Adware</x:v>
      </x:c>
      <x:c r="F95" t="str">
        <x:f>IFERROR(VLOOKUP(D95,VirusDB!$A$2:$D$7,3,FALSE),"Không xác định")</x:f>
        <x:v>Thấp</x:v>
      </x:c>
      <x:c r="G95" t="str">
        <x:v>10.0.10.104</x:v>
      </x:c>
      <x:c r="H95" t="str">
        <x:v>Mới</x:v>
      </x:c>
    </x:row>
    <x:row r="96">
      <x:c r="A96" t="str">
        <x:v>A095</x:v>
      </x:c>
      <x:c r="B96" t="str">
        <x:v>2026-10-12 23:05</x:v>
      </x:c>
      <x:c r="C96" t="str">
        <x:v>MAL06</x:v>
      </x:c>
      <x:c r="D96" t="str">
        <x:f>TRIM(C96)</x:f>
        <x:v>MAL06</x:v>
      </x:c>
      <x:c r="E96" t="str">
        <x:f>IFERROR(VLOOKUP(D96,VirusDB!$A$2:$D$7,2,FALSE),"Không xác định")</x:f>
        <x:v>Backdoor</x:v>
      </x:c>
      <x:c r="F96" t="str">
        <x:f>IFERROR(VLOOKUP(D96,VirusDB!$A$2:$D$7,3,FALSE),"Không xác định")</x:f>
        <x:v>Nghiêm trọng</x:v>
      </x:c>
      <x:c r="G96" t="str">
        <x:v>10.0.11.105</x:v>
      </x:c>
      <x:c r="H96" t="str">
        <x:v>Mới</x:v>
      </x:c>
    </x:row>
    <x:row r="97">
      <x:c r="A97" t="str">
        <x:v>A096</x:v>
      </x:c>
      <x:c r="B97" t="str">
        <x:v>2026-10-01 00:12</x:v>
      </x:c>
      <x:c r="C97" t="str">
        <x:v>MAL01</x:v>
      </x:c>
      <x:c r="D97" t="str">
        <x:f>TRIM(C97)</x:f>
        <x:v>MAL01</x:v>
      </x:c>
      <x:c r="E97" t="str">
        <x:f>IFERROR(VLOOKUP(D97,VirusDB!$A$2:$D$7,2,FALSE),"Không xác định")</x:f>
        <x:v>Trojan</x:v>
      </x:c>
      <x:c r="F97" t="str">
        <x:f>IFERROR(VLOOKUP(D97,VirusDB!$A$2:$D$7,3,FALSE),"Không xác định")</x:f>
        <x:v>Cao</x:v>
      </x:c>
      <x:c r="G97" t="str">
        <x:v>10.0.0.106</x:v>
      </x:c>
      <x:c r="H97" t="str">
        <x:v>Đã xử lý</x:v>
      </x:c>
    </x:row>
    <x:row r="98">
      <x:c r="A98" t="str">
        <x:v>A097</x:v>
      </x:c>
      <x:c r="B98" t="str">
        <x:v>2026-10-02 01:19</x:v>
      </x:c>
      <x:c r="C98" t="str">
        <x:v>MAL02</x:v>
      </x:c>
      <x:c r="D98" t="str">
        <x:f>TRIM(C98)</x:f>
        <x:v>MAL02</x:v>
      </x:c>
      <x:c r="E98" t="str">
        <x:f>IFERROR(VLOOKUP(D98,VirusDB!$A$2:$D$7,2,FALSE),"Không xác định")</x:f>
        <x:v>Ransomware</x:v>
      </x:c>
      <x:c r="F98" t="str">
        <x:f>IFERROR(VLOOKUP(D98,VirusDB!$A$2:$D$7,3,FALSE),"Không xác định")</x:f>
        <x:v>Nghiêm trọng</x:v>
      </x:c>
      <x:c r="G98" t="str">
        <x:v>10.0.1.107</x:v>
      </x:c>
      <x:c r="H98" t="str">
        <x:v>Mới</x:v>
      </x:c>
    </x:row>
    <x:row r="99">
      <x:c r="A99" t="str">
        <x:v>A098</x:v>
      </x:c>
      <x:c r="B99" t="str">
        <x:v>2026-10-03 02:26</x:v>
      </x:c>
      <x:c r="C99" t="str">
        <x:v>MAL03</x:v>
      </x:c>
      <x:c r="D99" t="str">
        <x:f>TRIM(C99)</x:f>
        <x:v>MAL03</x:v>
      </x:c>
      <x:c r="E99" t="str">
        <x:f>IFERROR(VLOOKUP(D99,VirusDB!$A$2:$D$7,2,FALSE),"Không xác định")</x:f>
        <x:v>Spyware</x:v>
      </x:c>
      <x:c r="F99" t="str">
        <x:f>IFERROR(VLOOKUP(D99,VirusDB!$A$2:$D$7,3,FALSE),"Không xác định")</x:f>
        <x:v>Trung bình</x:v>
      </x:c>
      <x:c r="G99" t="str">
        <x:v>10.0.2.108</x:v>
      </x:c>
      <x:c r="H99" t="str">
        <x:v>Mới</x:v>
      </x:c>
    </x:row>
    <x:row r="100">
      <x:c r="A100" t="str">
        <x:v>A099</x:v>
      </x:c>
      <x:c r="B100" t="str">
        <x:v>2026-10-04 03:33</x:v>
      </x:c>
      <x:c r="C100" t="str">
        <x:v>MAL04 </x:v>
      </x:c>
      <x:c r="D100" t="str">
        <x:f>TRIM(C100)</x:f>
        <x:v>MAL04</x:v>
      </x:c>
      <x:c r="E100" t="str">
        <x:f>IFERROR(VLOOKUP(D100,VirusDB!$A$2:$D$7,2,FALSE),"Không xác định")</x:f>
        <x:v>Worm</x:v>
      </x:c>
      <x:c r="F100" t="str">
        <x:f>IFERROR(VLOOKUP(D100,VirusDB!$A$2:$D$7,3,FALSE),"Không xác định")</x:f>
        <x:v>Cao</x:v>
      </x:c>
      <x:c r="G100" t="str">
        <x:v>10.0.3.109</x:v>
      </x:c>
      <x:c r="H100" t="str">
        <x:v>Đã xử lý</x:v>
      </x:c>
    </x:row>
    <x:row r="101">
      <x:c r="A101" t="str">
        <x:v>A100</x:v>
      </x:c>
      <x:c r="B101" t="str">
        <x:v>2026-10-05 04:40</x:v>
      </x:c>
      <x:c r="C101" t="str">
        <x:v>MAL05</x:v>
      </x:c>
      <x:c r="D101" t="str">
        <x:f>TRIM(C101)</x:f>
        <x:v>MAL05</x:v>
      </x:c>
      <x:c r="E101" t="str">
        <x:f>IFERROR(VLOOKUP(D101,VirusDB!$A$2:$D$7,2,FALSE),"Không xác định")</x:f>
        <x:v>Adware</x:v>
      </x:c>
      <x:c r="F101" t="str">
        <x:f>IFERROR(VLOOKUP(D101,VirusDB!$A$2:$D$7,3,FALSE),"Không xác định")</x:f>
        <x:v>Thấp</x:v>
      </x:c>
      <x:c r="G101" t="str">
        <x:v>10.0.4.110</x:v>
      </x:c>
      <x:c r="H101" t="str">
        <x:v>Mới</x:v>
      </x:c>
    </x:row>
  </x:sheetData>
  <x:pageMargins left="0.7" right="0.7" top="0.75" bottom="0.75" header="0.3" footer="0.3"/>
  <x:tableParts count="1">
    <x:tablePart xmlns:r="http://schemas.openxmlformats.org/officeDocument/2006/relationships" r:id="Rb84a18eb1e73490e"/>
  </x:tableParts>
</x:worksheet>
</file>